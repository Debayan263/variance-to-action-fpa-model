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BAYAN\Downloads\"/>
    </mc:Choice>
  </mc:AlternateContent>
  <xr:revisionPtr revIDLastSave="0" documentId="13_ncr:1_{F00C96C7-98B4-4DBD-A276-35F51EBF2FD0}" xr6:coauthVersionLast="47" xr6:coauthVersionMax="47" xr10:uidLastSave="{00000000-0000-0000-0000-000000000000}"/>
  <bookViews>
    <workbookView xWindow="-110" yWindow="-110" windowWidth="19420" windowHeight="10300" tabRatio="500" firstSheet="6" activeTab="8" xr2:uid="{00000000-000D-0000-FFFF-FFFF00000000}"/>
  </bookViews>
  <sheets>
    <sheet name="Cover" sheetId="1" r:id="rId1"/>
    <sheet name="Executive Dashboard" sheetId="2" r:id="rId2"/>
    <sheet name="Historical Data" sheetId="3" r:id="rId3"/>
    <sheet name="Assumptions &amp; Budget" sheetId="4" r:id="rId4"/>
    <sheet name="Actual vs Budget" sheetId="5" r:id="rId5"/>
    <sheet name="Variance-to-Action Log" sheetId="6" r:id="rId6"/>
    <sheet name="Rolling Forecast" sheetId="7" r:id="rId7"/>
    <sheet name="Summary" sheetId="8" r:id="rId8"/>
    <sheet name="Model Note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 i="8" l="1"/>
  <c r="N5" i="7"/>
  <c r="M5" i="7"/>
  <c r="L5" i="7"/>
  <c r="K5" i="7"/>
  <c r="J5" i="7"/>
  <c r="I5" i="7"/>
  <c r="H5" i="7"/>
  <c r="G5" i="7"/>
  <c r="F5" i="7"/>
  <c r="E5" i="7"/>
  <c r="D5" i="7"/>
  <c r="C5" i="7"/>
  <c r="F3" i="7"/>
  <c r="C3" i="7"/>
  <c r="C35" i="6"/>
  <c r="C32" i="8" s="1"/>
  <c r="C30" i="6"/>
  <c r="C27" i="8" s="1"/>
  <c r="C29" i="6"/>
  <c r="C26" i="8" s="1"/>
  <c r="C28" i="6"/>
  <c r="C25" i="8" s="1"/>
  <c r="C26" i="6"/>
  <c r="W23" i="6"/>
  <c r="C23" i="6"/>
  <c r="B23" i="6"/>
  <c r="W22" i="6"/>
  <c r="C22" i="6"/>
  <c r="B22" i="6"/>
  <c r="W21" i="6"/>
  <c r="C21" i="6"/>
  <c r="B21" i="6"/>
  <c r="W20" i="6"/>
  <c r="C20" i="6"/>
  <c r="B20" i="6"/>
  <c r="W19" i="6"/>
  <c r="C19" i="6"/>
  <c r="B19" i="6"/>
  <c r="W18" i="6"/>
  <c r="C18" i="6"/>
  <c r="B18" i="6"/>
  <c r="W17" i="6"/>
  <c r="C17" i="6"/>
  <c r="B17" i="6"/>
  <c r="C16" i="6"/>
  <c r="B16" i="6"/>
  <c r="W15" i="6"/>
  <c r="C15" i="6"/>
  <c r="B15" i="6"/>
  <c r="W14" i="6"/>
  <c r="C14" i="6"/>
  <c r="B14" i="6"/>
  <c r="W13" i="6"/>
  <c r="C13" i="6"/>
  <c r="B13" i="6"/>
  <c r="W12" i="6"/>
  <c r="C12" i="6"/>
  <c r="B12" i="6"/>
  <c r="W11" i="6"/>
  <c r="C11" i="6"/>
  <c r="B11" i="6"/>
  <c r="W10" i="6"/>
  <c r="C10" i="6"/>
  <c r="B10" i="6"/>
  <c r="W9" i="6"/>
  <c r="C9" i="6"/>
  <c r="B9" i="6"/>
  <c r="C8" i="6"/>
  <c r="B8" i="6"/>
  <c r="K3" i="6"/>
  <c r="H3" i="6"/>
  <c r="F3" i="6"/>
  <c r="C3" i="6"/>
  <c r="N174" i="5"/>
  <c r="M174" i="5"/>
  <c r="L174" i="5"/>
  <c r="K174" i="5"/>
  <c r="J174" i="5"/>
  <c r="I174" i="5"/>
  <c r="C174" i="5"/>
  <c r="N173" i="5"/>
  <c r="N175" i="5" s="1"/>
  <c r="N176" i="5" s="1"/>
  <c r="M173" i="5"/>
  <c r="M175" i="5" s="1"/>
  <c r="M176" i="5" s="1"/>
  <c r="L173" i="5"/>
  <c r="L175" i="5" s="1"/>
  <c r="L176" i="5" s="1"/>
  <c r="K173" i="5"/>
  <c r="K175" i="5" s="1"/>
  <c r="K176" i="5" s="1"/>
  <c r="J173" i="5"/>
  <c r="J175" i="5" s="1"/>
  <c r="J176" i="5" s="1"/>
  <c r="I173" i="5"/>
  <c r="I175" i="5" s="1"/>
  <c r="I176" i="5" s="1"/>
  <c r="N170" i="5"/>
  <c r="M170" i="5"/>
  <c r="L170" i="5"/>
  <c r="K170" i="5"/>
  <c r="J170" i="5"/>
  <c r="I170" i="5"/>
  <c r="N169" i="5"/>
  <c r="M169" i="5"/>
  <c r="L169" i="5"/>
  <c r="K169" i="5"/>
  <c r="J169" i="5"/>
  <c r="I169" i="5"/>
  <c r="N168" i="5"/>
  <c r="M168" i="5"/>
  <c r="L168" i="5"/>
  <c r="K168" i="5"/>
  <c r="J168" i="5"/>
  <c r="I168" i="5"/>
  <c r="N167" i="5"/>
  <c r="M167" i="5"/>
  <c r="L167" i="5"/>
  <c r="K167" i="5"/>
  <c r="J167" i="5"/>
  <c r="I167" i="5"/>
  <c r="N166" i="5"/>
  <c r="M166" i="5"/>
  <c r="L166" i="5"/>
  <c r="K166" i="5"/>
  <c r="J166" i="5"/>
  <c r="I166" i="5"/>
  <c r="N165" i="5"/>
  <c r="M165" i="5"/>
  <c r="L165" i="5"/>
  <c r="K165" i="5"/>
  <c r="J165" i="5"/>
  <c r="I165" i="5"/>
  <c r="N164" i="5"/>
  <c r="M164" i="5"/>
  <c r="L164" i="5"/>
  <c r="K164" i="5"/>
  <c r="J164" i="5"/>
  <c r="I164" i="5"/>
  <c r="N163" i="5"/>
  <c r="M163" i="5"/>
  <c r="L163" i="5"/>
  <c r="K163" i="5"/>
  <c r="J163" i="5"/>
  <c r="I163" i="5"/>
  <c r="G163" i="5"/>
  <c r="F163" i="5"/>
  <c r="E163" i="5"/>
  <c r="D163" i="5"/>
  <c r="C163" i="5"/>
  <c r="N162" i="5"/>
  <c r="M162" i="5"/>
  <c r="L162" i="5"/>
  <c r="K162" i="5"/>
  <c r="J162" i="5"/>
  <c r="I162" i="5"/>
  <c r="N161" i="5"/>
  <c r="M161" i="5"/>
  <c r="L161" i="5"/>
  <c r="K161" i="5"/>
  <c r="J161" i="5"/>
  <c r="I161" i="5"/>
  <c r="N160" i="5"/>
  <c r="M160" i="5"/>
  <c r="L160" i="5"/>
  <c r="K160" i="5"/>
  <c r="J160" i="5"/>
  <c r="I160" i="5"/>
  <c r="H160" i="5"/>
  <c r="G160" i="5"/>
  <c r="F160" i="5"/>
  <c r="E160" i="5"/>
  <c r="D160" i="5"/>
  <c r="C160" i="5"/>
  <c r="O160" i="5" s="1"/>
  <c r="G18" i="6" s="1"/>
  <c r="N159" i="5"/>
  <c r="M159" i="5"/>
  <c r="L159" i="5"/>
  <c r="K159" i="5"/>
  <c r="J159" i="5"/>
  <c r="I159" i="5"/>
  <c r="N158" i="5"/>
  <c r="M158" i="5"/>
  <c r="L158" i="5"/>
  <c r="K158" i="5"/>
  <c r="J158" i="5"/>
  <c r="I158" i="5"/>
  <c r="N157" i="5"/>
  <c r="M157" i="5"/>
  <c r="L157" i="5"/>
  <c r="K157" i="5"/>
  <c r="J157" i="5"/>
  <c r="I157" i="5"/>
  <c r="N156" i="5"/>
  <c r="M156" i="5"/>
  <c r="L156" i="5"/>
  <c r="K156" i="5"/>
  <c r="J156" i="5"/>
  <c r="I156" i="5"/>
  <c r="H156" i="5"/>
  <c r="G156" i="5"/>
  <c r="F156" i="5"/>
  <c r="E156" i="5"/>
  <c r="D156" i="5"/>
  <c r="C156" i="5"/>
  <c r="O156" i="5" s="1"/>
  <c r="G15" i="6" s="1"/>
  <c r="N155" i="5"/>
  <c r="M155" i="5"/>
  <c r="L155" i="5"/>
  <c r="K155" i="5"/>
  <c r="J155" i="5"/>
  <c r="I155" i="5"/>
  <c r="N154" i="5"/>
  <c r="M154" i="5"/>
  <c r="L154" i="5"/>
  <c r="K154" i="5"/>
  <c r="J154" i="5"/>
  <c r="I154" i="5"/>
  <c r="N153" i="5"/>
  <c r="M153" i="5"/>
  <c r="L153" i="5"/>
  <c r="K153" i="5"/>
  <c r="J153" i="5"/>
  <c r="I153" i="5"/>
  <c r="N152" i="5"/>
  <c r="M152" i="5"/>
  <c r="L152" i="5"/>
  <c r="K152" i="5"/>
  <c r="J152" i="5"/>
  <c r="I152" i="5"/>
  <c r="N151" i="5"/>
  <c r="N135" i="5"/>
  <c r="M135" i="5"/>
  <c r="L135" i="5"/>
  <c r="K135" i="5"/>
  <c r="J135" i="5"/>
  <c r="I135" i="5"/>
  <c r="N134" i="5"/>
  <c r="M134" i="5"/>
  <c r="L134" i="5"/>
  <c r="K134" i="5"/>
  <c r="J134" i="5"/>
  <c r="I134" i="5"/>
  <c r="N133" i="5"/>
  <c r="M133" i="5"/>
  <c r="L133" i="5"/>
  <c r="K133" i="5"/>
  <c r="J133" i="5"/>
  <c r="I133" i="5"/>
  <c r="N132" i="5"/>
  <c r="M132" i="5"/>
  <c r="L132" i="5"/>
  <c r="K132" i="5"/>
  <c r="J132" i="5"/>
  <c r="I132" i="5"/>
  <c r="N131" i="5"/>
  <c r="M131" i="5"/>
  <c r="L131" i="5"/>
  <c r="K131" i="5"/>
  <c r="J131" i="5"/>
  <c r="I131" i="5"/>
  <c r="N130" i="5"/>
  <c r="M130" i="5"/>
  <c r="L130" i="5"/>
  <c r="K130" i="5"/>
  <c r="J130" i="5"/>
  <c r="I130" i="5"/>
  <c r="N129" i="5"/>
  <c r="M129" i="5"/>
  <c r="L129" i="5"/>
  <c r="K129" i="5"/>
  <c r="J129" i="5"/>
  <c r="I129" i="5"/>
  <c r="N128" i="5"/>
  <c r="M128" i="5"/>
  <c r="L128" i="5"/>
  <c r="K128" i="5"/>
  <c r="J128" i="5"/>
  <c r="I128" i="5"/>
  <c r="N127" i="5"/>
  <c r="M127" i="5"/>
  <c r="L127" i="5"/>
  <c r="K127" i="5"/>
  <c r="J127" i="5"/>
  <c r="I127" i="5"/>
  <c r="N126" i="5"/>
  <c r="M126" i="5"/>
  <c r="L126" i="5"/>
  <c r="K126" i="5"/>
  <c r="J126" i="5"/>
  <c r="I126" i="5"/>
  <c r="N125" i="5"/>
  <c r="M125" i="5"/>
  <c r="L125" i="5"/>
  <c r="K125" i="5"/>
  <c r="J125" i="5"/>
  <c r="I125" i="5"/>
  <c r="N124" i="5"/>
  <c r="M124" i="5"/>
  <c r="L124" i="5"/>
  <c r="K124" i="5"/>
  <c r="J124" i="5"/>
  <c r="I124" i="5"/>
  <c r="N123" i="5"/>
  <c r="M123" i="5"/>
  <c r="L123" i="5"/>
  <c r="K123" i="5"/>
  <c r="J123" i="5"/>
  <c r="I123" i="5"/>
  <c r="N122" i="5"/>
  <c r="M122" i="5"/>
  <c r="L122" i="5"/>
  <c r="K122" i="5"/>
  <c r="J122" i="5"/>
  <c r="I122" i="5"/>
  <c r="N121" i="5"/>
  <c r="M121" i="5"/>
  <c r="L121" i="5"/>
  <c r="K121" i="5"/>
  <c r="J121" i="5"/>
  <c r="I121" i="5"/>
  <c r="N120" i="5"/>
  <c r="M120" i="5"/>
  <c r="L120" i="5"/>
  <c r="K120" i="5"/>
  <c r="J120" i="5"/>
  <c r="I120" i="5"/>
  <c r="N119" i="5"/>
  <c r="M119" i="5"/>
  <c r="L119" i="5"/>
  <c r="K119" i="5"/>
  <c r="J119" i="5"/>
  <c r="I119" i="5"/>
  <c r="G109" i="5"/>
  <c r="F109" i="5"/>
  <c r="E109" i="5"/>
  <c r="D109" i="5"/>
  <c r="C109" i="5"/>
  <c r="N106" i="5"/>
  <c r="M106" i="5"/>
  <c r="L106" i="5"/>
  <c r="K106" i="5"/>
  <c r="J106" i="5"/>
  <c r="I106" i="5"/>
  <c r="H106" i="5"/>
  <c r="G106" i="5"/>
  <c r="F106" i="5"/>
  <c r="E106" i="5"/>
  <c r="D106" i="5"/>
  <c r="C106" i="5"/>
  <c r="N102" i="5"/>
  <c r="M102" i="5"/>
  <c r="L102" i="5"/>
  <c r="K102" i="5"/>
  <c r="J102" i="5"/>
  <c r="I102" i="5"/>
  <c r="H102" i="5"/>
  <c r="G102" i="5"/>
  <c r="F102" i="5"/>
  <c r="E102" i="5"/>
  <c r="D102" i="5"/>
  <c r="C102" i="5"/>
  <c r="N91" i="5"/>
  <c r="M91" i="5"/>
  <c r="L91" i="5"/>
  <c r="K91" i="5"/>
  <c r="J91" i="5"/>
  <c r="I91" i="5"/>
  <c r="N90" i="5"/>
  <c r="M90" i="5"/>
  <c r="L90" i="5"/>
  <c r="K90" i="5"/>
  <c r="J90" i="5"/>
  <c r="I90" i="5"/>
  <c r="G80" i="5"/>
  <c r="F80" i="5"/>
  <c r="E80" i="5"/>
  <c r="E136" i="5" s="1"/>
  <c r="D80" i="5"/>
  <c r="D136" i="5" s="1"/>
  <c r="C80" i="5"/>
  <c r="N77" i="5"/>
  <c r="M77" i="5"/>
  <c r="L77" i="5"/>
  <c r="K77" i="5"/>
  <c r="J77" i="5"/>
  <c r="I77" i="5"/>
  <c r="H77" i="5"/>
  <c r="H133" i="5" s="1"/>
  <c r="G77" i="5"/>
  <c r="G133" i="5" s="1"/>
  <c r="F77" i="5"/>
  <c r="F133" i="5" s="1"/>
  <c r="E77" i="5"/>
  <c r="E133" i="5" s="1"/>
  <c r="D77" i="5"/>
  <c r="D133" i="5" s="1"/>
  <c r="C77" i="5"/>
  <c r="N73" i="5"/>
  <c r="M73" i="5"/>
  <c r="L73" i="5"/>
  <c r="K73" i="5"/>
  <c r="J73" i="5"/>
  <c r="I73" i="5"/>
  <c r="H73" i="5"/>
  <c r="H129" i="5" s="1"/>
  <c r="G73" i="5"/>
  <c r="G129" i="5" s="1"/>
  <c r="F73" i="5"/>
  <c r="F129" i="5" s="1"/>
  <c r="E73" i="5"/>
  <c r="E129" i="5" s="1"/>
  <c r="D73" i="5"/>
  <c r="D129" i="5" s="1"/>
  <c r="C73" i="5"/>
  <c r="N69" i="5"/>
  <c r="N98" i="5" s="1"/>
  <c r="M69" i="5"/>
  <c r="M98" i="5" s="1"/>
  <c r="L69" i="5"/>
  <c r="L98" i="5" s="1"/>
  <c r="K69" i="5"/>
  <c r="K98" i="5" s="1"/>
  <c r="J69" i="5"/>
  <c r="J98" i="5" s="1"/>
  <c r="I69" i="5"/>
  <c r="I98" i="5" s="1"/>
  <c r="H69" i="5"/>
  <c r="G69" i="5"/>
  <c r="F69" i="5"/>
  <c r="E69" i="5"/>
  <c r="D69" i="5"/>
  <c r="C69" i="5"/>
  <c r="C62" i="5"/>
  <c r="N56" i="5"/>
  <c r="M56" i="5"/>
  <c r="L56" i="5"/>
  <c r="K56" i="5"/>
  <c r="J56" i="5"/>
  <c r="I56" i="5"/>
  <c r="H56" i="5"/>
  <c r="G56" i="5"/>
  <c r="F56" i="5"/>
  <c r="E56" i="5"/>
  <c r="D56" i="5"/>
  <c r="C56" i="5"/>
  <c r="N55" i="5"/>
  <c r="M55" i="5"/>
  <c r="L55" i="5"/>
  <c r="K55" i="5"/>
  <c r="J55" i="5"/>
  <c r="I55" i="5"/>
  <c r="H55" i="5"/>
  <c r="G55" i="5"/>
  <c r="F55" i="5"/>
  <c r="E55" i="5"/>
  <c r="D55" i="5"/>
  <c r="C55" i="5"/>
  <c r="N54" i="5"/>
  <c r="M54" i="5"/>
  <c r="L54" i="5"/>
  <c r="K54" i="5"/>
  <c r="J54" i="5"/>
  <c r="I54" i="5"/>
  <c r="H54" i="5"/>
  <c r="G54" i="5"/>
  <c r="F54" i="5"/>
  <c r="E54" i="5"/>
  <c r="D54" i="5"/>
  <c r="C54" i="5"/>
  <c r="N53" i="5"/>
  <c r="M53" i="5"/>
  <c r="L53" i="5"/>
  <c r="K53" i="5"/>
  <c r="J53" i="5"/>
  <c r="I53" i="5"/>
  <c r="H53" i="5"/>
  <c r="G53" i="5"/>
  <c r="F53" i="5"/>
  <c r="E53" i="5"/>
  <c r="D53" i="5"/>
  <c r="C53" i="5"/>
  <c r="N51" i="5"/>
  <c r="M51" i="5"/>
  <c r="L51" i="5"/>
  <c r="K51" i="5"/>
  <c r="J51" i="5"/>
  <c r="I51" i="5"/>
  <c r="H51" i="5"/>
  <c r="G51" i="5"/>
  <c r="F51" i="5"/>
  <c r="E51" i="5"/>
  <c r="D51" i="5"/>
  <c r="C51" i="5"/>
  <c r="O50" i="5"/>
  <c r="O49" i="5"/>
  <c r="O48" i="5"/>
  <c r="O47" i="5"/>
  <c r="O46" i="5"/>
  <c r="O45" i="5"/>
  <c r="O51" i="5" s="1"/>
  <c r="O42" i="5"/>
  <c r="N41" i="5"/>
  <c r="M41" i="5"/>
  <c r="L41" i="5"/>
  <c r="K41" i="5"/>
  <c r="J41" i="5"/>
  <c r="I41" i="5"/>
  <c r="N39" i="5"/>
  <c r="M39" i="5"/>
  <c r="L39" i="5"/>
  <c r="N37" i="5"/>
  <c r="M37" i="5"/>
  <c r="L37" i="5"/>
  <c r="K37" i="5"/>
  <c r="J37" i="5"/>
  <c r="I37" i="5"/>
  <c r="H37" i="5"/>
  <c r="G37" i="5"/>
  <c r="F37" i="5"/>
  <c r="E37" i="5"/>
  <c r="D37" i="5"/>
  <c r="C37" i="5"/>
  <c r="N34" i="5"/>
  <c r="M34" i="5"/>
  <c r="L34" i="5"/>
  <c r="K34" i="5"/>
  <c r="J34" i="5"/>
  <c r="I34" i="5"/>
  <c r="H34" i="5"/>
  <c r="G34" i="5"/>
  <c r="F34" i="5"/>
  <c r="E34" i="5"/>
  <c r="D34" i="5"/>
  <c r="C34" i="5"/>
  <c r="N31" i="5"/>
  <c r="M31" i="5"/>
  <c r="L31" i="5"/>
  <c r="K31" i="5"/>
  <c r="J31" i="5"/>
  <c r="I31" i="5"/>
  <c r="H31" i="5"/>
  <c r="G31" i="5"/>
  <c r="F31" i="5"/>
  <c r="E31" i="5"/>
  <c r="D31" i="5"/>
  <c r="C31" i="5"/>
  <c r="N28" i="5"/>
  <c r="M28" i="5"/>
  <c r="L28" i="5"/>
  <c r="K28" i="5"/>
  <c r="J28" i="5"/>
  <c r="I28" i="5"/>
  <c r="H28" i="5"/>
  <c r="G28" i="5"/>
  <c r="F28" i="5"/>
  <c r="E28" i="5"/>
  <c r="D28" i="5"/>
  <c r="C28" i="5"/>
  <c r="N24" i="5"/>
  <c r="M24" i="5"/>
  <c r="L24" i="5"/>
  <c r="K24" i="5"/>
  <c r="J24" i="5"/>
  <c r="I24" i="5"/>
  <c r="H24" i="5"/>
  <c r="G24" i="5"/>
  <c r="F24" i="5"/>
  <c r="E24" i="5"/>
  <c r="D24" i="5"/>
  <c r="C24" i="5"/>
  <c r="N20" i="5"/>
  <c r="M20" i="5"/>
  <c r="L20" i="5"/>
  <c r="K20" i="5"/>
  <c r="K39" i="5" s="1"/>
  <c r="J20" i="5"/>
  <c r="J39" i="5" s="1"/>
  <c r="I20" i="5"/>
  <c r="I39" i="5" s="1"/>
  <c r="H20" i="5"/>
  <c r="H39" i="5" s="1"/>
  <c r="G20" i="5"/>
  <c r="G39" i="5" s="1"/>
  <c r="F20" i="5"/>
  <c r="F39" i="5" s="1"/>
  <c r="E20" i="5"/>
  <c r="E39" i="5" s="1"/>
  <c r="D20" i="5"/>
  <c r="D39" i="5" s="1"/>
  <c r="C20" i="5"/>
  <c r="C39" i="5" s="1"/>
  <c r="N13" i="5"/>
  <c r="M13" i="5"/>
  <c r="L13" i="5"/>
  <c r="K13" i="5"/>
  <c r="J13" i="5"/>
  <c r="I13" i="5"/>
  <c r="H13" i="5"/>
  <c r="G13" i="5"/>
  <c r="F13" i="5"/>
  <c r="E13" i="5"/>
  <c r="D13" i="5"/>
  <c r="C13" i="5"/>
  <c r="N5" i="5"/>
  <c r="M5" i="5"/>
  <c r="L5" i="5"/>
  <c r="K5" i="5"/>
  <c r="J5" i="5"/>
  <c r="I5" i="5"/>
  <c r="H5" i="5"/>
  <c r="G5" i="5"/>
  <c r="F5" i="5"/>
  <c r="E5" i="5"/>
  <c r="D5" i="5"/>
  <c r="C5" i="5"/>
  <c r="C3" i="5"/>
  <c r="N105" i="4"/>
  <c r="M105" i="4"/>
  <c r="L105" i="4"/>
  <c r="K105" i="4"/>
  <c r="J105" i="4"/>
  <c r="I105" i="4"/>
  <c r="H105" i="4"/>
  <c r="G105" i="4"/>
  <c r="F105" i="4"/>
  <c r="E105" i="4"/>
  <c r="D105" i="4"/>
  <c r="C105" i="4"/>
  <c r="O104" i="4"/>
  <c r="O103" i="4"/>
  <c r="O102" i="4"/>
  <c r="O101" i="4"/>
  <c r="O100" i="4"/>
  <c r="O99" i="4"/>
  <c r="O105" i="4" s="1"/>
  <c r="G86" i="4"/>
  <c r="F86" i="4"/>
  <c r="E86" i="4"/>
  <c r="D86" i="4"/>
  <c r="C86" i="4"/>
  <c r="N83" i="4"/>
  <c r="M83" i="4"/>
  <c r="L83" i="4"/>
  <c r="K83" i="4"/>
  <c r="J83" i="4"/>
  <c r="I83" i="4"/>
  <c r="H83" i="4"/>
  <c r="G83" i="4"/>
  <c r="F83" i="4"/>
  <c r="E83" i="4"/>
  <c r="D83" i="4"/>
  <c r="C83" i="4"/>
  <c r="N79" i="4"/>
  <c r="M79" i="4"/>
  <c r="L79" i="4"/>
  <c r="K79" i="4"/>
  <c r="J79" i="4"/>
  <c r="I79" i="4"/>
  <c r="H79" i="4"/>
  <c r="G79" i="4"/>
  <c r="F79" i="4"/>
  <c r="E79" i="4"/>
  <c r="D79" i="4"/>
  <c r="C79" i="4"/>
  <c r="N75" i="4"/>
  <c r="M75" i="4"/>
  <c r="L75" i="4"/>
  <c r="K75" i="4"/>
  <c r="J75" i="4"/>
  <c r="I75" i="4"/>
  <c r="H75" i="4"/>
  <c r="G75" i="4"/>
  <c r="F75" i="4"/>
  <c r="E75" i="4"/>
  <c r="D75" i="4"/>
  <c r="C75" i="4"/>
  <c r="C65" i="4"/>
  <c r="D65" i="4" s="1"/>
  <c r="O63" i="4"/>
  <c r="C39" i="4"/>
  <c r="C38" i="4"/>
  <c r="C37" i="4"/>
  <c r="C36" i="4"/>
  <c r="C35" i="4"/>
  <c r="C34" i="4"/>
  <c r="C7" i="4"/>
  <c r="F3" i="5" s="1"/>
  <c r="Z55" i="3"/>
  <c r="Y55" i="3"/>
  <c r="X55" i="3"/>
  <c r="W55" i="3"/>
  <c r="V55" i="3"/>
  <c r="U55" i="3"/>
  <c r="T55" i="3"/>
  <c r="S55" i="3"/>
  <c r="R55" i="3"/>
  <c r="Q55" i="3"/>
  <c r="P55" i="3"/>
  <c r="O55" i="3"/>
  <c r="N55" i="3"/>
  <c r="M55" i="3"/>
  <c r="L55" i="3"/>
  <c r="K55" i="3"/>
  <c r="J55" i="3"/>
  <c r="I55" i="3"/>
  <c r="H55" i="3"/>
  <c r="G55" i="3"/>
  <c r="F55" i="3"/>
  <c r="E55" i="3"/>
  <c r="D55" i="3"/>
  <c r="C55" i="3"/>
  <c r="Z54" i="3"/>
  <c r="Y54" i="3"/>
  <c r="X54" i="3"/>
  <c r="W54" i="3"/>
  <c r="V54" i="3"/>
  <c r="U54" i="3"/>
  <c r="T54" i="3"/>
  <c r="S54" i="3"/>
  <c r="R54" i="3"/>
  <c r="Q54" i="3"/>
  <c r="P54" i="3"/>
  <c r="O54" i="3"/>
  <c r="N54" i="3"/>
  <c r="M54" i="3"/>
  <c r="L54" i="3"/>
  <c r="K54" i="3"/>
  <c r="J54" i="3"/>
  <c r="I54" i="3"/>
  <c r="H54" i="3"/>
  <c r="G54" i="3"/>
  <c r="F54" i="3"/>
  <c r="E54" i="3"/>
  <c r="D54" i="3"/>
  <c r="C54" i="3"/>
  <c r="Z53" i="3"/>
  <c r="Y53" i="3"/>
  <c r="X53" i="3"/>
  <c r="W53" i="3"/>
  <c r="V53" i="3"/>
  <c r="U53" i="3"/>
  <c r="T53" i="3"/>
  <c r="S53" i="3"/>
  <c r="R53" i="3"/>
  <c r="Q53" i="3"/>
  <c r="P53" i="3"/>
  <c r="O53" i="3"/>
  <c r="N53" i="3"/>
  <c r="M53" i="3"/>
  <c r="L53" i="3"/>
  <c r="K53" i="3"/>
  <c r="J53" i="3"/>
  <c r="I53" i="3"/>
  <c r="H53" i="3"/>
  <c r="G53" i="3"/>
  <c r="F53" i="3"/>
  <c r="E53" i="3"/>
  <c r="D53" i="3"/>
  <c r="C53" i="3"/>
  <c r="Z52" i="3"/>
  <c r="Y52" i="3"/>
  <c r="X52" i="3"/>
  <c r="W52" i="3"/>
  <c r="V52" i="3"/>
  <c r="U52" i="3"/>
  <c r="T52" i="3"/>
  <c r="S52" i="3"/>
  <c r="R52" i="3"/>
  <c r="Q52" i="3"/>
  <c r="P52" i="3"/>
  <c r="O52" i="3"/>
  <c r="N52" i="3"/>
  <c r="M52" i="3"/>
  <c r="L52" i="3"/>
  <c r="K52" i="3"/>
  <c r="J52" i="3"/>
  <c r="I52" i="3"/>
  <c r="H52" i="3"/>
  <c r="G52" i="3"/>
  <c r="F52" i="3"/>
  <c r="E52" i="3"/>
  <c r="D52" i="3"/>
  <c r="C52" i="3"/>
  <c r="Z50" i="3"/>
  <c r="Y50" i="3"/>
  <c r="X50" i="3"/>
  <c r="W50" i="3"/>
  <c r="V50" i="3"/>
  <c r="U50" i="3"/>
  <c r="T50" i="3"/>
  <c r="S50" i="3"/>
  <c r="R50" i="3"/>
  <c r="Q50" i="3"/>
  <c r="P50" i="3"/>
  <c r="O50" i="3"/>
  <c r="N50" i="3"/>
  <c r="M50" i="3"/>
  <c r="L50" i="3"/>
  <c r="K50" i="3"/>
  <c r="J50" i="3"/>
  <c r="I50" i="3"/>
  <c r="H50" i="3"/>
  <c r="G50" i="3"/>
  <c r="F50" i="3"/>
  <c r="E50" i="3"/>
  <c r="D50" i="3"/>
  <c r="C50" i="3"/>
  <c r="AB49" i="3"/>
  <c r="P104" i="4" s="1"/>
  <c r="Q104" i="4" s="1"/>
  <c r="Z36" i="3"/>
  <c r="Y36" i="3"/>
  <c r="X36" i="3"/>
  <c r="W36" i="3"/>
  <c r="V36" i="3"/>
  <c r="U36" i="3"/>
  <c r="T36" i="3"/>
  <c r="S36" i="3"/>
  <c r="R36" i="3"/>
  <c r="Q36" i="3"/>
  <c r="P36" i="3"/>
  <c r="O36" i="3"/>
  <c r="N36" i="3"/>
  <c r="M36" i="3"/>
  <c r="L36" i="3"/>
  <c r="K36" i="3"/>
  <c r="J36" i="3"/>
  <c r="I36" i="3"/>
  <c r="H36" i="3"/>
  <c r="G36" i="3"/>
  <c r="F36" i="3"/>
  <c r="E36" i="3"/>
  <c r="D36" i="3"/>
  <c r="C36" i="3"/>
  <c r="Z33" i="3"/>
  <c r="Y33" i="3"/>
  <c r="X33" i="3"/>
  <c r="W33" i="3"/>
  <c r="V33" i="3"/>
  <c r="U33" i="3"/>
  <c r="T33" i="3"/>
  <c r="S33" i="3"/>
  <c r="R33" i="3"/>
  <c r="Q33" i="3"/>
  <c r="P33" i="3"/>
  <c r="O33" i="3"/>
  <c r="N33" i="3"/>
  <c r="M33" i="3"/>
  <c r="L33" i="3"/>
  <c r="K33" i="3"/>
  <c r="J33" i="3"/>
  <c r="I33" i="3"/>
  <c r="H33" i="3"/>
  <c r="G33" i="3"/>
  <c r="F33" i="3"/>
  <c r="E33" i="3"/>
  <c r="D33" i="3"/>
  <c r="C33" i="3"/>
  <c r="Z30" i="3"/>
  <c r="Y30" i="3"/>
  <c r="X30" i="3"/>
  <c r="W30" i="3"/>
  <c r="V30" i="3"/>
  <c r="U30" i="3"/>
  <c r="T30" i="3"/>
  <c r="S30" i="3"/>
  <c r="R30" i="3"/>
  <c r="Q30" i="3"/>
  <c r="P30" i="3"/>
  <c r="O30" i="3"/>
  <c r="N30" i="3"/>
  <c r="M30" i="3"/>
  <c r="L30" i="3"/>
  <c r="K30" i="3"/>
  <c r="J30" i="3"/>
  <c r="I30" i="3"/>
  <c r="H30" i="3"/>
  <c r="G30" i="3"/>
  <c r="F30" i="3"/>
  <c r="E30" i="3"/>
  <c r="D30" i="3"/>
  <c r="C30" i="3"/>
  <c r="Z27" i="3"/>
  <c r="Y27" i="3"/>
  <c r="X27" i="3"/>
  <c r="W27" i="3"/>
  <c r="V27" i="3"/>
  <c r="U27" i="3"/>
  <c r="T27" i="3"/>
  <c r="S27" i="3"/>
  <c r="R27" i="3"/>
  <c r="Q27" i="3"/>
  <c r="P27" i="3"/>
  <c r="O27" i="3"/>
  <c r="N27" i="3"/>
  <c r="M27" i="3"/>
  <c r="L27" i="3"/>
  <c r="K27" i="3"/>
  <c r="J27" i="3"/>
  <c r="I27" i="3"/>
  <c r="H27" i="3"/>
  <c r="G27" i="3"/>
  <c r="F27" i="3"/>
  <c r="E27" i="3"/>
  <c r="D27" i="3"/>
  <c r="C27" i="3"/>
  <c r="AB26" i="3"/>
  <c r="P81" i="4" s="1"/>
  <c r="AA26" i="3"/>
  <c r="AC26" i="3" s="1"/>
  <c r="AB25" i="3"/>
  <c r="AA25" i="3"/>
  <c r="AB24" i="3"/>
  <c r="AA24" i="3"/>
  <c r="Z23" i="3"/>
  <c r="Y23" i="3"/>
  <c r="X23" i="3"/>
  <c r="W23" i="3"/>
  <c r="V23" i="3"/>
  <c r="U23" i="3"/>
  <c r="T23" i="3"/>
  <c r="S23" i="3"/>
  <c r="R23" i="3"/>
  <c r="Q23" i="3"/>
  <c r="P23" i="3"/>
  <c r="O23" i="3"/>
  <c r="N23" i="3"/>
  <c r="M23" i="3"/>
  <c r="L23" i="3"/>
  <c r="K23" i="3"/>
  <c r="J23" i="3"/>
  <c r="I23" i="3"/>
  <c r="I38" i="3" s="1"/>
  <c r="H23" i="3"/>
  <c r="H38" i="3" s="1"/>
  <c r="G23" i="3"/>
  <c r="G38" i="3" s="1"/>
  <c r="F23" i="3"/>
  <c r="F38" i="3" s="1"/>
  <c r="E23" i="3"/>
  <c r="E38" i="3" s="1"/>
  <c r="D23" i="3"/>
  <c r="D38" i="3" s="1"/>
  <c r="C23" i="3"/>
  <c r="C38" i="3" s="1"/>
  <c r="AB22" i="3"/>
  <c r="AA22" i="3"/>
  <c r="AC22" i="3" s="1"/>
  <c r="AB21" i="3"/>
  <c r="AA21" i="3"/>
  <c r="AB20" i="3"/>
  <c r="AA20" i="3"/>
  <c r="Z19" i="3"/>
  <c r="Z38" i="3" s="1"/>
  <c r="Y19" i="3"/>
  <c r="Y38" i="3" s="1"/>
  <c r="X19" i="3"/>
  <c r="X38" i="3" s="1"/>
  <c r="W19" i="3"/>
  <c r="W38" i="3" s="1"/>
  <c r="V19" i="3"/>
  <c r="V38" i="3" s="1"/>
  <c r="U19" i="3"/>
  <c r="U38" i="3" s="1"/>
  <c r="T19" i="3"/>
  <c r="T38" i="3" s="1"/>
  <c r="S19" i="3"/>
  <c r="S38" i="3" s="1"/>
  <c r="R19" i="3"/>
  <c r="R38" i="3" s="1"/>
  <c r="Q19" i="3"/>
  <c r="Q38" i="3" s="1"/>
  <c r="P19" i="3"/>
  <c r="P38" i="3" s="1"/>
  <c r="O19" i="3"/>
  <c r="O38" i="3" s="1"/>
  <c r="N19" i="3"/>
  <c r="N38" i="3" s="1"/>
  <c r="M19" i="3"/>
  <c r="M38" i="3" s="1"/>
  <c r="L19" i="3"/>
  <c r="L38" i="3" s="1"/>
  <c r="K19" i="3"/>
  <c r="K38" i="3" s="1"/>
  <c r="J19" i="3"/>
  <c r="J38" i="3" s="1"/>
  <c r="I19" i="3"/>
  <c r="H19" i="3"/>
  <c r="G19" i="3"/>
  <c r="F19" i="3"/>
  <c r="E19" i="3"/>
  <c r="D19" i="3"/>
  <c r="C19" i="3"/>
  <c r="Z12" i="3"/>
  <c r="Y12" i="3"/>
  <c r="X12" i="3"/>
  <c r="W12" i="3"/>
  <c r="V12" i="3"/>
  <c r="U12" i="3"/>
  <c r="T12" i="3"/>
  <c r="S12" i="3"/>
  <c r="R12" i="3"/>
  <c r="Q12" i="3"/>
  <c r="P12" i="3"/>
  <c r="O12" i="3"/>
  <c r="N12" i="3"/>
  <c r="M12" i="3"/>
  <c r="L12" i="3"/>
  <c r="K12" i="3"/>
  <c r="J12" i="3"/>
  <c r="I12" i="3"/>
  <c r="H12" i="3"/>
  <c r="G12" i="3"/>
  <c r="F12" i="3"/>
  <c r="E12" i="3"/>
  <c r="D12" i="3"/>
  <c r="C12" i="3"/>
  <c r="Z6" i="3"/>
  <c r="Y6" i="3"/>
  <c r="X6" i="3"/>
  <c r="W6" i="3"/>
  <c r="V6" i="3"/>
  <c r="U6" i="3"/>
  <c r="T6" i="3"/>
  <c r="S6" i="3"/>
  <c r="R6" i="3"/>
  <c r="Q6" i="3"/>
  <c r="P6" i="3"/>
  <c r="O6" i="3"/>
  <c r="N6" i="3"/>
  <c r="M6" i="3"/>
  <c r="L6" i="3"/>
  <c r="K6" i="3"/>
  <c r="J6" i="3"/>
  <c r="I6" i="3"/>
  <c r="H6" i="3"/>
  <c r="G6" i="3"/>
  <c r="F6" i="3"/>
  <c r="E6" i="3"/>
  <c r="D6" i="3"/>
  <c r="C6" i="3"/>
  <c r="A111" i="2"/>
  <c r="A110" i="2"/>
  <c r="A109" i="2"/>
  <c r="A108" i="2"/>
  <c r="A107" i="2"/>
  <c r="A106" i="2"/>
  <c r="A105" i="2"/>
  <c r="A104" i="2"/>
  <c r="A103" i="2"/>
  <c r="A102" i="2"/>
  <c r="A101" i="2"/>
  <c r="A100" i="2"/>
  <c r="D95" i="2"/>
  <c r="C95" i="2"/>
  <c r="E94" i="2"/>
  <c r="E93" i="2"/>
  <c r="E92" i="2"/>
  <c r="E91" i="2"/>
  <c r="E90" i="2"/>
  <c r="B86" i="2"/>
  <c r="A86" i="2"/>
  <c r="B85" i="2"/>
  <c r="A85" i="2"/>
  <c r="B84" i="2"/>
  <c r="A84" i="2"/>
  <c r="B83" i="2"/>
  <c r="A83" i="2"/>
  <c r="B82" i="2"/>
  <c r="A82" i="2"/>
  <c r="D81" i="2"/>
  <c r="B81" i="2"/>
  <c r="A81" i="2"/>
  <c r="B80" i="2"/>
  <c r="A80" i="2"/>
  <c r="B79" i="2"/>
  <c r="A79" i="2"/>
  <c r="D78" i="2"/>
  <c r="B78" i="2"/>
  <c r="A78" i="2"/>
  <c r="B77" i="2"/>
  <c r="A77" i="2"/>
  <c r="B76" i="2"/>
  <c r="A76" i="2"/>
  <c r="D75" i="2"/>
  <c r="B75" i="2"/>
  <c r="A75" i="2"/>
  <c r="B74" i="2"/>
  <c r="A74" i="2"/>
  <c r="B73" i="2"/>
  <c r="A73" i="2"/>
  <c r="B72" i="2"/>
  <c r="A72" i="2"/>
  <c r="B71" i="2"/>
  <c r="A71" i="2"/>
  <c r="F59" i="2"/>
  <c r="E59" i="2"/>
  <c r="D59" i="2"/>
  <c r="G58" i="2"/>
  <c r="G57" i="2"/>
  <c r="G56" i="2"/>
  <c r="G55" i="2"/>
  <c r="G54" i="2"/>
  <c r="G53" i="2"/>
  <c r="G52" i="2"/>
  <c r="F51" i="2"/>
  <c r="E51" i="2"/>
  <c r="D51" i="2"/>
  <c r="A2" i="2"/>
  <c r="F14" i="1"/>
  <c r="N6" i="7" l="1"/>
  <c r="N7" i="7"/>
  <c r="M7" i="7"/>
  <c r="M6" i="7"/>
  <c r="L6" i="7"/>
  <c r="L7" i="7"/>
  <c r="K7" i="7"/>
  <c r="K6" i="7"/>
  <c r="J7" i="7"/>
  <c r="J6" i="7"/>
  <c r="I7" i="7"/>
  <c r="I6" i="7"/>
  <c r="H41" i="7"/>
  <c r="H9" i="7"/>
  <c r="H21" i="7"/>
  <c r="H18" i="7"/>
  <c r="H35" i="7"/>
  <c r="H32" i="7"/>
  <c r="H13" i="7"/>
  <c r="H25" i="7"/>
  <c r="H17" i="7"/>
  <c r="H19" i="7" s="1"/>
  <c r="H22" i="7"/>
  <c r="H10" i="7"/>
  <c r="H6" i="7"/>
  <c r="H31" i="7"/>
  <c r="H33" i="7" s="1"/>
  <c r="H7" i="7"/>
  <c r="H29" i="7"/>
  <c r="H24" i="7"/>
  <c r="H20" i="7"/>
  <c r="H23" i="7" s="1"/>
  <c r="H26" i="7"/>
  <c r="H28" i="7"/>
  <c r="H30" i="7" s="1"/>
  <c r="H34" i="7"/>
  <c r="H36" i="7" s="1"/>
  <c r="G41" i="7"/>
  <c r="G10" i="7"/>
  <c r="G18" i="7"/>
  <c r="G35" i="7"/>
  <c r="G31" i="7"/>
  <c r="G6" i="7"/>
  <c r="G17" i="7"/>
  <c r="G19" i="7" s="1"/>
  <c r="G22" i="7"/>
  <c r="G32" i="7"/>
  <c r="G34" i="7"/>
  <c r="G36" i="7" s="1"/>
  <c r="G13" i="7"/>
  <c r="G9" i="7"/>
  <c r="G12" i="7" s="1"/>
  <c r="G7" i="7"/>
  <c r="G24" i="7"/>
  <c r="G28" i="7"/>
  <c r="G21" i="7"/>
  <c r="G26" i="7"/>
  <c r="G25" i="7"/>
  <c r="G29" i="7"/>
  <c r="G20" i="7"/>
  <c r="G23" i="7" s="1"/>
  <c r="F41" i="7"/>
  <c r="F17" i="7"/>
  <c r="F35" i="7"/>
  <c r="F32" i="7"/>
  <c r="F20" i="7"/>
  <c r="F22" i="7"/>
  <c r="F21" i="7"/>
  <c r="F10" i="7"/>
  <c r="F28" i="7"/>
  <c r="F26" i="7"/>
  <c r="F25" i="7"/>
  <c r="F24" i="7"/>
  <c r="F27" i="7" s="1"/>
  <c r="F34" i="7"/>
  <c r="F36" i="7" s="1"/>
  <c r="F9" i="7"/>
  <c r="F12" i="7" s="1"/>
  <c r="F7" i="7"/>
  <c r="F29" i="7"/>
  <c r="F18" i="7"/>
  <c r="F13" i="7"/>
  <c r="F6" i="7"/>
  <c r="F31" i="7"/>
  <c r="F33" i="7" s="1"/>
  <c r="E41" i="7"/>
  <c r="E35" i="7"/>
  <c r="E10" i="7"/>
  <c r="E22" i="7"/>
  <c r="E26" i="7"/>
  <c r="E25" i="7"/>
  <c r="E29" i="7"/>
  <c r="E32" i="7"/>
  <c r="E31" i="7"/>
  <c r="E33" i="7" s="1"/>
  <c r="E7" i="7"/>
  <c r="E20" i="7"/>
  <c r="E21" i="7"/>
  <c r="E13" i="7"/>
  <c r="E24" i="7"/>
  <c r="E27" i="7" s="1"/>
  <c r="E9" i="7"/>
  <c r="E12" i="7" s="1"/>
  <c r="E18" i="7"/>
  <c r="E28" i="7"/>
  <c r="E6" i="7"/>
  <c r="E34" i="7"/>
  <c r="E17" i="7"/>
  <c r="E19" i="7" s="1"/>
  <c r="D28" i="7"/>
  <c r="D26" i="7"/>
  <c r="D25" i="7"/>
  <c r="D24" i="7"/>
  <c r="D27" i="7" s="1"/>
  <c r="D22" i="7"/>
  <c r="D21" i="7"/>
  <c r="D18" i="7"/>
  <c r="D17" i="7"/>
  <c r="D19" i="7" s="1"/>
  <c r="D13" i="7"/>
  <c r="D20" i="7"/>
  <c r="D23" i="7" s="1"/>
  <c r="D9" i="7"/>
  <c r="D6" i="7"/>
  <c r="D7" i="7"/>
  <c r="D41" i="7"/>
  <c r="D35" i="7"/>
  <c r="D34" i="7"/>
  <c r="D36" i="7" s="1"/>
  <c r="D32" i="7"/>
  <c r="D31" i="7"/>
  <c r="D33" i="7" s="1"/>
  <c r="D10" i="7"/>
  <c r="D29" i="7"/>
  <c r="C24" i="7"/>
  <c r="C25" i="7"/>
  <c r="C26" i="7"/>
  <c r="C28" i="7"/>
  <c r="C6" i="7"/>
  <c r="C22" i="7"/>
  <c r="C7" i="7"/>
  <c r="C21" i="7"/>
  <c r="C20" i="7"/>
  <c r="C18" i="7"/>
  <c r="C17" i="7"/>
  <c r="C9" i="7"/>
  <c r="C41" i="7"/>
  <c r="C35" i="7"/>
  <c r="C13" i="7"/>
  <c r="C34" i="7"/>
  <c r="C32" i="7"/>
  <c r="C31" i="7"/>
  <c r="C29" i="7"/>
  <c r="C10" i="7"/>
  <c r="J19" i="6"/>
  <c r="K18" i="6"/>
  <c r="J18" i="6"/>
  <c r="I18" i="6"/>
  <c r="J17" i="6"/>
  <c r="J16" i="6"/>
  <c r="K15" i="6"/>
  <c r="J15" i="6"/>
  <c r="I15" i="6"/>
  <c r="L15" i="6" s="1"/>
  <c r="U15" i="6" s="1"/>
  <c r="J13" i="6"/>
  <c r="J12" i="6"/>
  <c r="I12" i="6"/>
  <c r="J11" i="6"/>
  <c r="J14" i="6"/>
  <c r="J8" i="6"/>
  <c r="J10" i="6"/>
  <c r="J9" i="6"/>
  <c r="J23" i="6"/>
  <c r="J22" i="6"/>
  <c r="J21" i="6"/>
  <c r="J20" i="6"/>
  <c r="O106" i="5"/>
  <c r="O102" i="5"/>
  <c r="C136" i="5"/>
  <c r="C133" i="5"/>
  <c r="O133" i="5" s="1"/>
  <c r="O77" i="5"/>
  <c r="C129" i="5"/>
  <c r="O129" i="5" s="1"/>
  <c r="O73" i="5"/>
  <c r="H125" i="5"/>
  <c r="H98" i="5"/>
  <c r="G125" i="5"/>
  <c r="G98" i="5"/>
  <c r="F125" i="5"/>
  <c r="F98" i="5"/>
  <c r="E125" i="5"/>
  <c r="E98" i="5"/>
  <c r="D125" i="5"/>
  <c r="D98" i="5"/>
  <c r="C125" i="5"/>
  <c r="O125" i="5" s="1"/>
  <c r="C98" i="5"/>
  <c r="O98" i="5" s="1"/>
  <c r="O69" i="5"/>
  <c r="N58" i="5"/>
  <c r="N57" i="5"/>
  <c r="M58" i="5"/>
  <c r="M57" i="5"/>
  <c r="L58" i="5"/>
  <c r="L57" i="5"/>
  <c r="K58" i="5"/>
  <c r="K57" i="5"/>
  <c r="J58" i="5"/>
  <c r="J57" i="5"/>
  <c r="I58" i="5"/>
  <c r="I57" i="5"/>
  <c r="H57" i="5"/>
  <c r="H58" i="5"/>
  <c r="G58" i="5"/>
  <c r="G57" i="5"/>
  <c r="F57" i="5"/>
  <c r="F58" i="5"/>
  <c r="E58" i="5"/>
  <c r="E57" i="5"/>
  <c r="D57" i="5"/>
  <c r="D58" i="5"/>
  <c r="C58" i="5"/>
  <c r="C57" i="5"/>
  <c r="O57" i="5"/>
  <c r="O58" i="5"/>
  <c r="N16" i="5"/>
  <c r="N15" i="5"/>
  <c r="N40" i="5" s="1"/>
  <c r="N43" i="5" s="1"/>
  <c r="M16" i="5"/>
  <c r="M15" i="5"/>
  <c r="M40" i="5" s="1"/>
  <c r="M43" i="5" s="1"/>
  <c r="L15" i="5"/>
  <c r="L40" i="5" s="1"/>
  <c r="L43" i="5" s="1"/>
  <c r="L16" i="5"/>
  <c r="K15" i="5"/>
  <c r="K40" i="5" s="1"/>
  <c r="K43" i="5" s="1"/>
  <c r="K16" i="5"/>
  <c r="J15" i="5"/>
  <c r="J40" i="5" s="1"/>
  <c r="J43" i="5" s="1"/>
  <c r="J16" i="5"/>
  <c r="I15" i="5"/>
  <c r="I40" i="5" s="1"/>
  <c r="I43" i="5" s="1"/>
  <c r="I16" i="5"/>
  <c r="H15" i="5"/>
  <c r="H16" i="5"/>
  <c r="G15" i="5"/>
  <c r="G16" i="5"/>
  <c r="F15" i="5"/>
  <c r="E15" i="5"/>
  <c r="E16" i="5"/>
  <c r="D15" i="5"/>
  <c r="D16" i="5"/>
  <c r="C15" i="5"/>
  <c r="C16" i="5"/>
  <c r="N147" i="5"/>
  <c r="N139" i="5"/>
  <c r="N148" i="5"/>
  <c r="N140" i="5"/>
  <c r="N143" i="5"/>
  <c r="N6" i="5"/>
  <c r="N146" i="5"/>
  <c r="N138" i="5"/>
  <c r="N150" i="5"/>
  <c r="N149" i="5"/>
  <c r="N142" i="5"/>
  <c r="N141" i="5"/>
  <c r="N137" i="5"/>
  <c r="M150" i="5"/>
  <c r="M6" i="5"/>
  <c r="M139" i="5"/>
  <c r="M149" i="5"/>
  <c r="M148" i="5"/>
  <c r="M147" i="5"/>
  <c r="M140" i="5"/>
  <c r="M143" i="5"/>
  <c r="M151" i="5"/>
  <c r="M142" i="5"/>
  <c r="M146" i="5"/>
  <c r="M138" i="5"/>
  <c r="M137" i="5"/>
  <c r="M141" i="5"/>
  <c r="L149" i="5"/>
  <c r="L143" i="5"/>
  <c r="L151" i="5"/>
  <c r="L139" i="5"/>
  <c r="L148" i="5"/>
  <c r="L6" i="5"/>
  <c r="L142" i="5"/>
  <c r="L150" i="5"/>
  <c r="L141" i="5"/>
  <c r="L137" i="5"/>
  <c r="L138" i="5"/>
  <c r="L140" i="5"/>
  <c r="L146" i="5"/>
  <c r="L147" i="5"/>
  <c r="K143" i="5"/>
  <c r="K151" i="5"/>
  <c r="K138" i="5"/>
  <c r="K142" i="5"/>
  <c r="K147" i="5"/>
  <c r="K150" i="5"/>
  <c r="K140" i="5"/>
  <c r="K137" i="5"/>
  <c r="K6" i="5"/>
  <c r="K141" i="5"/>
  <c r="K139" i="5"/>
  <c r="K146" i="5"/>
  <c r="K149" i="5"/>
  <c r="K148" i="5"/>
  <c r="J142" i="5"/>
  <c r="J6" i="5"/>
  <c r="J147" i="5"/>
  <c r="J151" i="5"/>
  <c r="J138" i="5"/>
  <c r="J149" i="5"/>
  <c r="J143" i="5"/>
  <c r="J150" i="5"/>
  <c r="J139" i="5"/>
  <c r="J146" i="5"/>
  <c r="J148" i="5"/>
  <c r="J141" i="5"/>
  <c r="J140" i="5"/>
  <c r="J137" i="5"/>
  <c r="I151" i="5"/>
  <c r="I139" i="5"/>
  <c r="I140" i="5"/>
  <c r="I141" i="5"/>
  <c r="I149" i="5"/>
  <c r="I142" i="5"/>
  <c r="I143" i="5"/>
  <c r="I6" i="5"/>
  <c r="I150" i="5"/>
  <c r="I147" i="5"/>
  <c r="I146" i="5"/>
  <c r="I148" i="5"/>
  <c r="I137" i="5"/>
  <c r="I138" i="5"/>
  <c r="H6" i="5"/>
  <c r="G6" i="5"/>
  <c r="F6" i="5"/>
  <c r="E6" i="5"/>
  <c r="D6" i="5"/>
  <c r="C6" i="5"/>
  <c r="G136" i="5"/>
  <c r="I136" i="5"/>
  <c r="J136" i="5"/>
  <c r="K136" i="5"/>
  <c r="L136" i="5"/>
  <c r="M136" i="5"/>
  <c r="N136" i="5"/>
  <c r="O14" i="5"/>
  <c r="E9" i="6" s="1"/>
  <c r="O13" i="5"/>
  <c r="O10" i="5"/>
  <c r="O18" i="5"/>
  <c r="O19" i="5"/>
  <c r="E11" i="6" s="1"/>
  <c r="O21" i="5"/>
  <c r="O26" i="5"/>
  <c r="O22" i="5"/>
  <c r="E13" i="6" s="1"/>
  <c r="O23" i="5"/>
  <c r="E14" i="6" s="1"/>
  <c r="O36" i="5"/>
  <c r="E23" i="6" s="1"/>
  <c r="O25" i="5"/>
  <c r="O27" i="5"/>
  <c r="E17" i="6" s="1"/>
  <c r="O29" i="5"/>
  <c r="O30" i="5"/>
  <c r="E19" i="6" s="1"/>
  <c r="O32" i="5"/>
  <c r="O33" i="5"/>
  <c r="E21" i="6" s="1"/>
  <c r="O35" i="5"/>
  <c r="F136" i="5"/>
  <c r="O83" i="4"/>
  <c r="O79" i="4"/>
  <c r="O75" i="4"/>
  <c r="E65" i="4"/>
  <c r="D62" i="5"/>
  <c r="D174" i="5" s="1"/>
  <c r="I89" i="4"/>
  <c r="F89" i="4"/>
  <c r="E89" i="4"/>
  <c r="D89" i="4"/>
  <c r="C89" i="4"/>
  <c r="H89" i="4"/>
  <c r="G89" i="4"/>
  <c r="N89" i="4"/>
  <c r="J89" i="4"/>
  <c r="K89" i="4"/>
  <c r="L89" i="4"/>
  <c r="M89" i="4"/>
  <c r="K86" i="4"/>
  <c r="J86" i="4"/>
  <c r="H86" i="4"/>
  <c r="O86" i="4" s="1"/>
  <c r="I86" i="4"/>
  <c r="L86" i="4"/>
  <c r="M86" i="4"/>
  <c r="N86" i="4"/>
  <c r="E72" i="4"/>
  <c r="E112" i="4" s="1"/>
  <c r="C72" i="4"/>
  <c r="C112" i="4" s="1"/>
  <c r="D72" i="4"/>
  <c r="D112" i="4" s="1"/>
  <c r="N72" i="4"/>
  <c r="M72" i="4"/>
  <c r="M112" i="4" s="1"/>
  <c r="L72" i="4"/>
  <c r="L112" i="4" s="1"/>
  <c r="K72" i="4"/>
  <c r="K112" i="4" s="1"/>
  <c r="J72" i="4"/>
  <c r="J112" i="4" s="1"/>
  <c r="I72" i="4"/>
  <c r="G72" i="4"/>
  <c r="G112" i="4" s="1"/>
  <c r="F72" i="4"/>
  <c r="F112" i="4" s="1"/>
  <c r="H72" i="4"/>
  <c r="H112" i="4" s="1"/>
  <c r="Z57" i="3"/>
  <c r="Z56" i="3"/>
  <c r="Y57" i="3"/>
  <c r="Y56" i="3"/>
  <c r="X57" i="3"/>
  <c r="X56" i="3"/>
  <c r="W57" i="3"/>
  <c r="W56" i="3"/>
  <c r="V57" i="3"/>
  <c r="V56" i="3"/>
  <c r="U57" i="3"/>
  <c r="U56" i="3"/>
  <c r="T57" i="3"/>
  <c r="T56" i="3"/>
  <c r="S57" i="3"/>
  <c r="S56" i="3"/>
  <c r="R57" i="3"/>
  <c r="R56" i="3"/>
  <c r="Q57" i="3"/>
  <c r="Q56" i="3"/>
  <c r="P57" i="3"/>
  <c r="P56" i="3"/>
  <c r="O57" i="3"/>
  <c r="O56" i="3"/>
  <c r="N57" i="3"/>
  <c r="N56" i="3"/>
  <c r="M57" i="3"/>
  <c r="M56" i="3"/>
  <c r="L56" i="3"/>
  <c r="L57" i="3"/>
  <c r="K56" i="3"/>
  <c r="K57" i="3"/>
  <c r="J57" i="3"/>
  <c r="J56" i="3"/>
  <c r="I56" i="3"/>
  <c r="I57" i="3"/>
  <c r="H57" i="3"/>
  <c r="H56" i="3"/>
  <c r="G56" i="3"/>
  <c r="G57" i="3"/>
  <c r="F57" i="3"/>
  <c r="F56" i="3"/>
  <c r="E56" i="3"/>
  <c r="E57" i="3"/>
  <c r="D56" i="3"/>
  <c r="D57" i="3"/>
  <c r="C57" i="3"/>
  <c r="C56" i="3"/>
  <c r="P80" i="4"/>
  <c r="AC25" i="3"/>
  <c r="AB27" i="3"/>
  <c r="P82" i="4" s="1"/>
  <c r="P79" i="4"/>
  <c r="AC24" i="3"/>
  <c r="AA27" i="3"/>
  <c r="AC27" i="3" s="1"/>
  <c r="M77" i="4"/>
  <c r="M71" i="5" s="1"/>
  <c r="M100" i="5" s="1"/>
  <c r="N77" i="4"/>
  <c r="N71" i="5" s="1"/>
  <c r="N100" i="5" s="1"/>
  <c r="P77" i="4"/>
  <c r="C77" i="4"/>
  <c r="D77" i="4"/>
  <c r="D71" i="5" s="1"/>
  <c r="E77" i="4"/>
  <c r="E71" i="5" s="1"/>
  <c r="F77" i="4"/>
  <c r="F71" i="5" s="1"/>
  <c r="G77" i="4"/>
  <c r="G71" i="5" s="1"/>
  <c r="H77" i="4"/>
  <c r="H71" i="5" s="1"/>
  <c r="I77" i="4"/>
  <c r="J77" i="4"/>
  <c r="J71" i="5" s="1"/>
  <c r="J100" i="5" s="1"/>
  <c r="K77" i="4"/>
  <c r="K71" i="5" s="1"/>
  <c r="K100" i="5" s="1"/>
  <c r="L77" i="4"/>
  <c r="L71" i="5" s="1"/>
  <c r="L100" i="5" s="1"/>
  <c r="P76" i="4"/>
  <c r="AC21" i="3"/>
  <c r="P75" i="4"/>
  <c r="AB23" i="3"/>
  <c r="P78" i="4" s="1"/>
  <c r="AA23" i="3"/>
  <c r="AC23" i="3" s="1"/>
  <c r="AC20" i="3"/>
  <c r="Z14" i="3"/>
  <c r="Z39" i="3" s="1"/>
  <c r="Z15" i="3"/>
  <c r="Y14" i="3"/>
  <c r="X14" i="3"/>
  <c r="W14" i="3"/>
  <c r="V14" i="3"/>
  <c r="V39" i="3" s="1"/>
  <c r="V15" i="3"/>
  <c r="U14" i="3"/>
  <c r="T14" i="3"/>
  <c r="S14" i="3"/>
  <c r="R14" i="3"/>
  <c r="Q14" i="3"/>
  <c r="Q39" i="3" s="1"/>
  <c r="Q15" i="3"/>
  <c r="P14" i="3"/>
  <c r="O14" i="3"/>
  <c r="N14" i="3"/>
  <c r="M14" i="3"/>
  <c r="L14" i="3"/>
  <c r="K14" i="3"/>
  <c r="J14" i="3"/>
  <c r="I14" i="3"/>
  <c r="I39" i="3" s="1"/>
  <c r="I15" i="3"/>
  <c r="H14" i="3"/>
  <c r="G14" i="3"/>
  <c r="G39" i="3" s="1"/>
  <c r="G15" i="3"/>
  <c r="F14" i="3"/>
  <c r="F39" i="3" s="1"/>
  <c r="F15" i="3"/>
  <c r="E14" i="3"/>
  <c r="E39" i="3" s="1"/>
  <c r="E15" i="3"/>
  <c r="D14" i="3"/>
  <c r="C14" i="3"/>
  <c r="C39" i="3" s="1"/>
  <c r="C15" i="3"/>
  <c r="AA48" i="3"/>
  <c r="AB48" i="3"/>
  <c r="P103" i="4" s="1"/>
  <c r="Q103" i="4" s="1"/>
  <c r="AA49" i="3"/>
  <c r="AB60" i="3"/>
  <c r="AB18" i="3"/>
  <c r="P73" i="4" s="1"/>
  <c r="AA18" i="3"/>
  <c r="AC18" i="3" s="1"/>
  <c r="AB13" i="3"/>
  <c r="P68" i="4" s="1"/>
  <c r="AA13" i="3"/>
  <c r="AC13" i="3" s="1"/>
  <c r="AB17" i="3"/>
  <c r="AA12" i="3"/>
  <c r="AB9" i="3"/>
  <c r="C21" i="4" s="1"/>
  <c r="C23" i="4" s="1"/>
  <c r="AA9" i="3"/>
  <c r="AB8" i="3"/>
  <c r="AA8" i="3"/>
  <c r="AA17" i="3"/>
  <c r="AA60" i="3"/>
  <c r="AB32" i="3"/>
  <c r="AA32" i="3"/>
  <c r="AC32" i="3" s="1"/>
  <c r="AB31" i="3"/>
  <c r="AA31" i="3"/>
  <c r="AB29" i="3"/>
  <c r="AA29" i="3"/>
  <c r="AC29" i="3" s="1"/>
  <c r="AB28" i="3"/>
  <c r="AA28" i="3"/>
  <c r="AA47" i="3"/>
  <c r="AA41" i="3"/>
  <c r="AB12" i="3"/>
  <c r="AB47" i="3"/>
  <c r="P102" i="4" s="1"/>
  <c r="Q102" i="4" s="1"/>
  <c r="AB41" i="3"/>
  <c r="AA44" i="3"/>
  <c r="AB44" i="3"/>
  <c r="AA45" i="3"/>
  <c r="AB45" i="3"/>
  <c r="P100" i="4" s="1"/>
  <c r="Q100" i="4" s="1"/>
  <c r="AA46" i="3"/>
  <c r="AB46" i="3"/>
  <c r="P101" i="4" s="1"/>
  <c r="Q101" i="4" s="1"/>
  <c r="AB35" i="3"/>
  <c r="AA35" i="3"/>
  <c r="AC35" i="3" s="1"/>
  <c r="AB34" i="3"/>
  <c r="AA34" i="3"/>
  <c r="G14" i="7" l="1"/>
  <c r="G15" i="7"/>
  <c r="G44" i="7"/>
  <c r="F14" i="7"/>
  <c r="F15" i="7"/>
  <c r="F44" i="7"/>
  <c r="E14" i="7"/>
  <c r="E15" i="7"/>
  <c r="E44" i="7"/>
  <c r="C27" i="7"/>
  <c r="C30" i="7"/>
  <c r="C23" i="7"/>
  <c r="C19" i="7"/>
  <c r="C12" i="7"/>
  <c r="C36" i="7"/>
  <c r="C33" i="7"/>
  <c r="F18" i="6"/>
  <c r="P160" i="5"/>
  <c r="H18" i="6" s="1"/>
  <c r="M18" i="6" s="1"/>
  <c r="F15" i="6"/>
  <c r="P156" i="5"/>
  <c r="H15" i="6" s="1"/>
  <c r="M15" i="6" s="1"/>
  <c r="P133" i="5"/>
  <c r="D18" i="6"/>
  <c r="P129" i="5"/>
  <c r="D15" i="6"/>
  <c r="H152" i="5"/>
  <c r="G152" i="5"/>
  <c r="F152" i="5"/>
  <c r="K12" i="6" s="1"/>
  <c r="L12" i="6" s="1"/>
  <c r="U12" i="6" s="1"/>
  <c r="E152" i="5"/>
  <c r="D152" i="5"/>
  <c r="C152" i="5"/>
  <c r="P125" i="5"/>
  <c r="D12" i="6"/>
  <c r="H40" i="5"/>
  <c r="G40" i="5"/>
  <c r="F40" i="5"/>
  <c r="E40" i="5"/>
  <c r="D40" i="5"/>
  <c r="C40" i="5"/>
  <c r="O15" i="5"/>
  <c r="O16" i="5"/>
  <c r="O53" i="5"/>
  <c r="O54" i="5"/>
  <c r="E8" i="6"/>
  <c r="D7" i="8"/>
  <c r="O11" i="5"/>
  <c r="O55" i="5"/>
  <c r="O20" i="5"/>
  <c r="E10" i="6"/>
  <c r="F12" i="6"/>
  <c r="O24" i="5"/>
  <c r="E12" i="6"/>
  <c r="O56" i="5"/>
  <c r="E16" i="6"/>
  <c r="O28" i="5"/>
  <c r="E15" i="6"/>
  <c r="O31" i="5"/>
  <c r="E18" i="6"/>
  <c r="O34" i="5"/>
  <c r="E20" i="6"/>
  <c r="O37" i="5"/>
  <c r="E22" i="6"/>
  <c r="P31" i="7"/>
  <c r="P28" i="7"/>
  <c r="P24" i="7"/>
  <c r="P20" i="7"/>
  <c r="F65" i="4"/>
  <c r="E62" i="5"/>
  <c r="E174" i="5" s="1"/>
  <c r="I91" i="4"/>
  <c r="I85" i="5" s="1"/>
  <c r="D85" i="2"/>
  <c r="I83" i="5"/>
  <c r="I112" i="5" s="1"/>
  <c r="F91" i="4"/>
  <c r="F85" i="5" s="1"/>
  <c r="F141" i="5" s="1"/>
  <c r="F83" i="5"/>
  <c r="E91" i="4"/>
  <c r="E85" i="5" s="1"/>
  <c r="E141" i="5" s="1"/>
  <c r="E83" i="5"/>
  <c r="D91" i="4"/>
  <c r="D85" i="5" s="1"/>
  <c r="D141" i="5" s="1"/>
  <c r="D83" i="5"/>
  <c r="O89" i="4"/>
  <c r="C91" i="4"/>
  <c r="C85" i="5" s="1"/>
  <c r="C83" i="5"/>
  <c r="H91" i="4"/>
  <c r="H85" i="5" s="1"/>
  <c r="H141" i="5" s="1"/>
  <c r="H83" i="5"/>
  <c r="G91" i="4"/>
  <c r="G85" i="5" s="1"/>
  <c r="G141" i="5" s="1"/>
  <c r="G83" i="5"/>
  <c r="N91" i="4"/>
  <c r="N85" i="5" s="1"/>
  <c r="N83" i="5"/>
  <c r="N112" i="5" s="1"/>
  <c r="J91" i="4"/>
  <c r="J85" i="5" s="1"/>
  <c r="J83" i="5"/>
  <c r="J112" i="5" s="1"/>
  <c r="K91" i="4"/>
  <c r="K85" i="5" s="1"/>
  <c r="K83" i="5"/>
  <c r="K112" i="5" s="1"/>
  <c r="L91" i="4"/>
  <c r="L85" i="5" s="1"/>
  <c r="L83" i="5"/>
  <c r="L112" i="5" s="1"/>
  <c r="M91" i="4"/>
  <c r="M85" i="5" s="1"/>
  <c r="M83" i="5"/>
  <c r="M112" i="5" s="1"/>
  <c r="K88" i="4"/>
  <c r="K82" i="5" s="1"/>
  <c r="K80" i="5"/>
  <c r="K109" i="5" s="1"/>
  <c r="J88" i="4"/>
  <c r="J82" i="5" s="1"/>
  <c r="J80" i="5"/>
  <c r="J109" i="5" s="1"/>
  <c r="H88" i="4"/>
  <c r="H82" i="5" s="1"/>
  <c r="H138" i="5" s="1"/>
  <c r="H80" i="5"/>
  <c r="I88" i="4"/>
  <c r="I82" i="5" s="1"/>
  <c r="D83" i="2"/>
  <c r="I80" i="5"/>
  <c r="I109" i="5" s="1"/>
  <c r="L80" i="5"/>
  <c r="L109" i="5" s="1"/>
  <c r="M80" i="5"/>
  <c r="M109" i="5" s="1"/>
  <c r="N80" i="5"/>
  <c r="N109" i="5" s="1"/>
  <c r="E66" i="5"/>
  <c r="O72" i="4"/>
  <c r="C66" i="5"/>
  <c r="D66" i="5"/>
  <c r="N66" i="5"/>
  <c r="N95" i="5" s="1"/>
  <c r="M66" i="5"/>
  <c r="M95" i="5" s="1"/>
  <c r="L66" i="5"/>
  <c r="L95" i="5" s="1"/>
  <c r="K66" i="5"/>
  <c r="K95" i="5" s="1"/>
  <c r="J66" i="5"/>
  <c r="J95" i="5" s="1"/>
  <c r="I66" i="5"/>
  <c r="I95" i="5" s="1"/>
  <c r="D73" i="2"/>
  <c r="G66" i="5"/>
  <c r="F66" i="5"/>
  <c r="H66" i="5"/>
  <c r="O77" i="4"/>
  <c r="C71" i="5"/>
  <c r="D100" i="5"/>
  <c r="D154" i="5" s="1"/>
  <c r="D127" i="5"/>
  <c r="E100" i="5"/>
  <c r="E154" i="5" s="1"/>
  <c r="E127" i="5"/>
  <c r="F100" i="5"/>
  <c r="F127" i="5"/>
  <c r="G100" i="5"/>
  <c r="G154" i="5" s="1"/>
  <c r="G127" i="5"/>
  <c r="H100" i="5"/>
  <c r="H154" i="5" s="1"/>
  <c r="H127" i="5"/>
  <c r="I71" i="5"/>
  <c r="I100" i="5" s="1"/>
  <c r="D77" i="2"/>
  <c r="Z40" i="3"/>
  <c r="Z42" i="3"/>
  <c r="V40" i="3"/>
  <c r="V42" i="3"/>
  <c r="Q40" i="3"/>
  <c r="Q42" i="3"/>
  <c r="I40" i="3"/>
  <c r="I42" i="3"/>
  <c r="G40" i="3"/>
  <c r="G42" i="3"/>
  <c r="F40" i="3"/>
  <c r="F42" i="3"/>
  <c r="E40" i="3"/>
  <c r="E42" i="3"/>
  <c r="C40" i="3"/>
  <c r="C42" i="3"/>
  <c r="P72" i="4"/>
  <c r="AB19" i="3"/>
  <c r="AC12" i="3"/>
  <c r="AA14" i="3"/>
  <c r="AA15" i="3"/>
  <c r="D12" i="9" s="1"/>
  <c r="AA52" i="3"/>
  <c r="D13" i="9" s="1"/>
  <c r="AA53" i="3"/>
  <c r="D14" i="9" s="1"/>
  <c r="AB10" i="3"/>
  <c r="P65" i="4" s="1"/>
  <c r="AB54" i="3"/>
  <c r="P109" i="4" s="1"/>
  <c r="C64" i="4"/>
  <c r="D64" i="4"/>
  <c r="E64" i="4"/>
  <c r="F64" i="4"/>
  <c r="G64" i="4"/>
  <c r="H64" i="4"/>
  <c r="I64" i="4"/>
  <c r="J64" i="4"/>
  <c r="K64" i="4"/>
  <c r="L64" i="4"/>
  <c r="M64" i="4"/>
  <c r="N64" i="4"/>
  <c r="P64" i="4"/>
  <c r="AC9" i="3"/>
  <c r="AA10" i="3"/>
  <c r="AA54" i="3"/>
  <c r="AC54" i="3" s="1"/>
  <c r="AC17" i="3"/>
  <c r="AA19" i="3"/>
  <c r="C87" i="4"/>
  <c r="D87" i="4"/>
  <c r="E87" i="4"/>
  <c r="F87" i="4"/>
  <c r="G87" i="4"/>
  <c r="H87" i="4"/>
  <c r="H81" i="5" s="1"/>
  <c r="I87" i="4"/>
  <c r="J87" i="4"/>
  <c r="K87" i="4"/>
  <c r="L87" i="4"/>
  <c r="L88" i="4" s="1"/>
  <c r="L82" i="5" s="1"/>
  <c r="M87" i="4"/>
  <c r="M88" i="4" s="1"/>
  <c r="M82" i="5" s="1"/>
  <c r="N87" i="4"/>
  <c r="N88" i="4" s="1"/>
  <c r="N82" i="5" s="1"/>
  <c r="P87" i="4"/>
  <c r="AB33" i="3"/>
  <c r="P88" i="4" s="1"/>
  <c r="P86" i="4"/>
  <c r="Q86" i="4" s="1"/>
  <c r="AC31" i="3"/>
  <c r="AA33" i="3"/>
  <c r="AC33" i="3" s="1"/>
  <c r="C84" i="4"/>
  <c r="D84" i="4"/>
  <c r="E84" i="4"/>
  <c r="F84" i="4"/>
  <c r="G84" i="4"/>
  <c r="H84" i="4"/>
  <c r="I84" i="4"/>
  <c r="J84" i="4"/>
  <c r="K84" i="4"/>
  <c r="L84" i="4"/>
  <c r="M84" i="4"/>
  <c r="N84" i="4"/>
  <c r="P84" i="4"/>
  <c r="AB30" i="3"/>
  <c r="P85" i="4" s="1"/>
  <c r="P83" i="4"/>
  <c r="Q83" i="4" s="1"/>
  <c r="AC28" i="3"/>
  <c r="AA30" i="3"/>
  <c r="AC30" i="3" s="1"/>
  <c r="AC41" i="3"/>
  <c r="D16" i="9"/>
  <c r="AB14" i="3"/>
  <c r="AB15" i="3"/>
  <c r="F8" i="1"/>
  <c r="AB53" i="3"/>
  <c r="P67" i="4"/>
  <c r="AB52" i="3"/>
  <c r="C96" i="4"/>
  <c r="D96" i="4"/>
  <c r="E96" i="4"/>
  <c r="F96" i="4"/>
  <c r="G96" i="4"/>
  <c r="H96" i="4"/>
  <c r="I96" i="4"/>
  <c r="I41" i="7" s="1"/>
  <c r="J96" i="4"/>
  <c r="J41" i="7" s="1"/>
  <c r="K96" i="4"/>
  <c r="K41" i="7" s="1"/>
  <c r="L96" i="4"/>
  <c r="L41" i="7" s="1"/>
  <c r="M96" i="4"/>
  <c r="M41" i="7" s="1"/>
  <c r="N96" i="4"/>
  <c r="N41" i="7" s="1"/>
  <c r="P96" i="4"/>
  <c r="C16" i="9"/>
  <c r="AB50" i="3"/>
  <c r="P99" i="4"/>
  <c r="Q99" i="4" s="1"/>
  <c r="C90" i="4"/>
  <c r="D90" i="4"/>
  <c r="D84" i="5" s="1"/>
  <c r="E90" i="4"/>
  <c r="E84" i="5" s="1"/>
  <c r="F90" i="4"/>
  <c r="F84" i="5" s="1"/>
  <c r="G90" i="4"/>
  <c r="G84" i="5" s="1"/>
  <c r="H90" i="4"/>
  <c r="H84" i="5" s="1"/>
  <c r="I90" i="4"/>
  <c r="J90" i="4"/>
  <c r="K90" i="4"/>
  <c r="L90" i="4"/>
  <c r="M90" i="4"/>
  <c r="N90" i="4"/>
  <c r="P90" i="4"/>
  <c r="AB36" i="3"/>
  <c r="P91" i="4" s="1"/>
  <c r="P89" i="4"/>
  <c r="AC34" i="3"/>
  <c r="AA36" i="3"/>
  <c r="AC36" i="3" s="1"/>
  <c r="H12" i="7"/>
  <c r="H27" i="7"/>
  <c r="H38" i="7" s="1"/>
  <c r="G33" i="7"/>
  <c r="G27" i="7"/>
  <c r="G38" i="7" s="1"/>
  <c r="G30" i="7"/>
  <c r="F19" i="7"/>
  <c r="F23" i="7"/>
  <c r="F30" i="7"/>
  <c r="E23" i="7"/>
  <c r="E30" i="7"/>
  <c r="E36" i="7"/>
  <c r="D30" i="7"/>
  <c r="D38" i="7"/>
  <c r="D12" i="7"/>
  <c r="Q79" i="4"/>
  <c r="Q75" i="4"/>
  <c r="AA50" i="3"/>
  <c r="L18" i="6"/>
  <c r="U18" i="6" s="1"/>
  <c r="F16" i="5"/>
  <c r="N112" i="4"/>
  <c r="I112" i="4"/>
  <c r="Y39" i="3"/>
  <c r="Y15" i="3"/>
  <c r="X39" i="3"/>
  <c r="X15" i="3"/>
  <c r="W39" i="3"/>
  <c r="W15" i="3"/>
  <c r="U39" i="3"/>
  <c r="U15" i="3"/>
  <c r="T39" i="3"/>
  <c r="T15" i="3"/>
  <c r="S39" i="3"/>
  <c r="S15" i="3"/>
  <c r="R39" i="3"/>
  <c r="R15" i="3"/>
  <c r="P39" i="3"/>
  <c r="P15" i="3"/>
  <c r="O39" i="3"/>
  <c r="O15" i="3"/>
  <c r="N39" i="3"/>
  <c r="N15" i="3"/>
  <c r="M39" i="3"/>
  <c r="M15" i="3"/>
  <c r="L39" i="3"/>
  <c r="L15" i="3"/>
  <c r="K39" i="3"/>
  <c r="K15" i="3"/>
  <c r="J39" i="3"/>
  <c r="J15" i="3"/>
  <c r="H39" i="3"/>
  <c r="H15" i="3"/>
  <c r="D39" i="3"/>
  <c r="D15" i="3"/>
  <c r="AA55" i="3"/>
  <c r="D15" i="9"/>
  <c r="AB55" i="3"/>
  <c r="P110" i="4" s="1"/>
  <c r="C15" i="9"/>
  <c r="C14" i="7" l="1"/>
  <c r="C15" i="7"/>
  <c r="C44" i="7"/>
  <c r="N18" i="6"/>
  <c r="Q18" i="6"/>
  <c r="T18" i="6"/>
  <c r="X18" i="6"/>
  <c r="N15" i="6"/>
  <c r="Q15" i="6"/>
  <c r="T15" i="6"/>
  <c r="X15" i="6"/>
  <c r="H41" i="5"/>
  <c r="H43" i="5"/>
  <c r="G41" i="5"/>
  <c r="G43" i="5"/>
  <c r="F41" i="5"/>
  <c r="F43" i="5"/>
  <c r="E41" i="5"/>
  <c r="E43" i="5"/>
  <c r="D41" i="5"/>
  <c r="D43" i="5"/>
  <c r="C41" i="5"/>
  <c r="C43" i="5"/>
  <c r="O40" i="5"/>
  <c r="D8" i="8"/>
  <c r="G65" i="4"/>
  <c r="F62" i="5"/>
  <c r="F174" i="5" s="1"/>
  <c r="F139" i="5"/>
  <c r="F112" i="5"/>
  <c r="E139" i="5"/>
  <c r="E112" i="5"/>
  <c r="D139" i="5"/>
  <c r="D112" i="5"/>
  <c r="P34" i="7"/>
  <c r="C141" i="5"/>
  <c r="O141" i="5" s="1"/>
  <c r="O85" i="5"/>
  <c r="C139" i="5"/>
  <c r="O83" i="5"/>
  <c r="C112" i="5"/>
  <c r="H139" i="5"/>
  <c r="H112" i="5"/>
  <c r="G139" i="5"/>
  <c r="G112" i="5"/>
  <c r="H136" i="5"/>
  <c r="O136" i="5" s="1"/>
  <c r="O80" i="5"/>
  <c r="H109" i="5"/>
  <c r="E122" i="5"/>
  <c r="E95" i="5"/>
  <c r="O112" i="4"/>
  <c r="P17" i="7"/>
  <c r="C122" i="5"/>
  <c r="O66" i="5"/>
  <c r="C95" i="5"/>
  <c r="D95" i="5"/>
  <c r="D122" i="5"/>
  <c r="G95" i="5"/>
  <c r="G122" i="5"/>
  <c r="F122" i="5"/>
  <c r="F95" i="5"/>
  <c r="H122" i="5"/>
  <c r="H95" i="5"/>
  <c r="Q77" i="4"/>
  <c r="P22" i="7"/>
  <c r="O71" i="5"/>
  <c r="C100" i="5"/>
  <c r="C127" i="5"/>
  <c r="O127" i="5" s="1"/>
  <c r="I14" i="6"/>
  <c r="F154" i="5"/>
  <c r="K14" i="6" s="1"/>
  <c r="AB38" i="3"/>
  <c r="P93" i="4" s="1"/>
  <c r="P74" i="4"/>
  <c r="AC14" i="3"/>
  <c r="O64" i="4"/>
  <c r="C67" i="4"/>
  <c r="C76" i="4"/>
  <c r="C109" i="4"/>
  <c r="C61" i="5"/>
  <c r="D67" i="4"/>
  <c r="D76" i="4"/>
  <c r="D109" i="4"/>
  <c r="D61" i="5"/>
  <c r="E67" i="4"/>
  <c r="E76" i="4"/>
  <c r="E109" i="4"/>
  <c r="E61" i="5"/>
  <c r="F67" i="4"/>
  <c r="F76" i="4"/>
  <c r="F109" i="4"/>
  <c r="F61" i="5"/>
  <c r="G67" i="4"/>
  <c r="G76" i="4"/>
  <c r="G109" i="4"/>
  <c r="G61" i="5"/>
  <c r="H76" i="4"/>
  <c r="H109" i="4"/>
  <c r="H61" i="5"/>
  <c r="I76" i="4"/>
  <c r="I109" i="4"/>
  <c r="I61" i="5"/>
  <c r="J76" i="4"/>
  <c r="J109" i="4"/>
  <c r="J61" i="5"/>
  <c r="K76" i="4"/>
  <c r="K109" i="4"/>
  <c r="K61" i="5"/>
  <c r="L76" i="4"/>
  <c r="L109" i="4"/>
  <c r="L61" i="5"/>
  <c r="M76" i="4"/>
  <c r="M109" i="4"/>
  <c r="M61" i="5"/>
  <c r="N76" i="4"/>
  <c r="N109" i="4"/>
  <c r="N61" i="5"/>
  <c r="AC19" i="3"/>
  <c r="AA38" i="3"/>
  <c r="C88" i="4"/>
  <c r="C82" i="5" s="1"/>
  <c r="O87" i="4"/>
  <c r="C81" i="5"/>
  <c r="D88" i="4"/>
  <c r="D82" i="5" s="1"/>
  <c r="D138" i="5" s="1"/>
  <c r="D81" i="5"/>
  <c r="E88" i="4"/>
  <c r="E82" i="5" s="1"/>
  <c r="E138" i="5" s="1"/>
  <c r="E81" i="5"/>
  <c r="F88" i="4"/>
  <c r="F82" i="5" s="1"/>
  <c r="F138" i="5" s="1"/>
  <c r="F81" i="5"/>
  <c r="G88" i="4"/>
  <c r="G82" i="5" s="1"/>
  <c r="G138" i="5" s="1"/>
  <c r="G81" i="5"/>
  <c r="H137" i="5"/>
  <c r="H110" i="5"/>
  <c r="H164" i="5" s="1"/>
  <c r="D84" i="2"/>
  <c r="I81" i="5"/>
  <c r="I110" i="5" s="1"/>
  <c r="I111" i="5" s="1"/>
  <c r="J81" i="5"/>
  <c r="J110" i="5" s="1"/>
  <c r="J111" i="5" s="1"/>
  <c r="K81" i="5"/>
  <c r="K110" i="5" s="1"/>
  <c r="K111" i="5" s="1"/>
  <c r="L81" i="5"/>
  <c r="L110" i="5" s="1"/>
  <c r="L111" i="5" s="1"/>
  <c r="M81" i="5"/>
  <c r="M110" i="5" s="1"/>
  <c r="M111" i="5" s="1"/>
  <c r="N81" i="5"/>
  <c r="N110" i="5" s="1"/>
  <c r="N111" i="5" s="1"/>
  <c r="C85" i="4"/>
  <c r="C79" i="5" s="1"/>
  <c r="O84" i="4"/>
  <c r="C78" i="5"/>
  <c r="D85" i="4"/>
  <c r="D79" i="5" s="1"/>
  <c r="D135" i="5" s="1"/>
  <c r="D78" i="5"/>
  <c r="E85" i="4"/>
  <c r="E79" i="5" s="1"/>
  <c r="E135" i="5" s="1"/>
  <c r="E78" i="5"/>
  <c r="F85" i="4"/>
  <c r="F79" i="5" s="1"/>
  <c r="F135" i="5" s="1"/>
  <c r="F78" i="5"/>
  <c r="G85" i="4"/>
  <c r="G79" i="5" s="1"/>
  <c r="G135" i="5" s="1"/>
  <c r="G78" i="5"/>
  <c r="H85" i="4"/>
  <c r="H79" i="5" s="1"/>
  <c r="H135" i="5" s="1"/>
  <c r="H78" i="5"/>
  <c r="I85" i="4"/>
  <c r="I79" i="5" s="1"/>
  <c r="D82" i="2"/>
  <c r="I78" i="5"/>
  <c r="I107" i="5" s="1"/>
  <c r="I108" i="5" s="1"/>
  <c r="J85" i="4"/>
  <c r="J79" i="5" s="1"/>
  <c r="J78" i="5"/>
  <c r="J107" i="5" s="1"/>
  <c r="J108" i="5" s="1"/>
  <c r="K85" i="4"/>
  <c r="K79" i="5" s="1"/>
  <c r="K78" i="5"/>
  <c r="K107" i="5" s="1"/>
  <c r="K108" i="5" s="1"/>
  <c r="L85" i="4"/>
  <c r="L79" i="5" s="1"/>
  <c r="L78" i="5"/>
  <c r="L107" i="5" s="1"/>
  <c r="L108" i="5" s="1"/>
  <c r="M85" i="4"/>
  <c r="M79" i="5" s="1"/>
  <c r="M78" i="5"/>
  <c r="M107" i="5" s="1"/>
  <c r="M108" i="5" s="1"/>
  <c r="N85" i="4"/>
  <c r="N79" i="5" s="1"/>
  <c r="N78" i="5"/>
  <c r="N107" i="5" s="1"/>
  <c r="N108" i="5" s="1"/>
  <c r="AB39" i="3"/>
  <c r="P69" i="4"/>
  <c r="AC15" i="3"/>
  <c r="P70" i="4"/>
  <c r="C12" i="9"/>
  <c r="AC53" i="3"/>
  <c r="P108" i="4"/>
  <c r="C14" i="9"/>
  <c r="P107" i="4"/>
  <c r="C13" i="9"/>
  <c r="AC52" i="3"/>
  <c r="P105" i="4"/>
  <c r="Q105" i="4" s="1"/>
  <c r="AB56" i="3"/>
  <c r="P111" i="4" s="1"/>
  <c r="AB57" i="3"/>
  <c r="P112" i="4" s="1"/>
  <c r="Q112" i="4" s="1"/>
  <c r="O90" i="4"/>
  <c r="O91" i="4" s="1"/>
  <c r="C84" i="5"/>
  <c r="D140" i="5"/>
  <c r="D113" i="5"/>
  <c r="D167" i="5" s="1"/>
  <c r="E140" i="5"/>
  <c r="E113" i="5"/>
  <c r="E167" i="5" s="1"/>
  <c r="F140" i="5"/>
  <c r="F113" i="5"/>
  <c r="G140" i="5"/>
  <c r="G113" i="5"/>
  <c r="G167" i="5" s="1"/>
  <c r="H140" i="5"/>
  <c r="H113" i="5"/>
  <c r="H167" i="5" s="1"/>
  <c r="I84" i="5"/>
  <c r="I113" i="5" s="1"/>
  <c r="I114" i="5" s="1"/>
  <c r="D86" i="2"/>
  <c r="J84" i="5"/>
  <c r="J113" i="5" s="1"/>
  <c r="J114" i="5" s="1"/>
  <c r="K84" i="5"/>
  <c r="K113" i="5" s="1"/>
  <c r="K114" i="5" s="1"/>
  <c r="L84" i="5"/>
  <c r="L113" i="5" s="1"/>
  <c r="L114" i="5" s="1"/>
  <c r="M84" i="5"/>
  <c r="M113" i="5" s="1"/>
  <c r="M114" i="5" s="1"/>
  <c r="N84" i="5"/>
  <c r="N113" i="5" s="1"/>
  <c r="N114" i="5" s="1"/>
  <c r="H44" i="7"/>
  <c r="H14" i="7"/>
  <c r="D44" i="7"/>
  <c r="D14" i="7"/>
  <c r="AA57" i="3"/>
  <c r="AA56" i="3"/>
  <c r="AC50" i="3"/>
  <c r="Y42" i="3"/>
  <c r="Y40" i="3"/>
  <c r="X42" i="3"/>
  <c r="X40" i="3"/>
  <c r="W42" i="3"/>
  <c r="W40" i="3"/>
  <c r="U42" i="3"/>
  <c r="U40" i="3"/>
  <c r="T42" i="3"/>
  <c r="T40" i="3"/>
  <c r="S42" i="3"/>
  <c r="S40" i="3"/>
  <c r="R42" i="3"/>
  <c r="R40" i="3"/>
  <c r="P42" i="3"/>
  <c r="P40" i="3"/>
  <c r="O42" i="3"/>
  <c r="O40" i="3"/>
  <c r="N42" i="3"/>
  <c r="N40" i="3"/>
  <c r="M42" i="3"/>
  <c r="M40" i="3"/>
  <c r="L42" i="3"/>
  <c r="L40" i="3"/>
  <c r="K42" i="3"/>
  <c r="K40" i="3"/>
  <c r="J42" i="3"/>
  <c r="J40" i="3"/>
  <c r="H42" i="3"/>
  <c r="H40" i="3"/>
  <c r="D42" i="3"/>
  <c r="D40" i="3"/>
  <c r="G39" i="7"/>
  <c r="C38" i="7"/>
  <c r="O152" i="5"/>
  <c r="O39" i="5"/>
  <c r="D9" i="8" s="1"/>
  <c r="Q72" i="4"/>
  <c r="O41" i="7"/>
  <c r="Q89" i="4"/>
  <c r="F38" i="7"/>
  <c r="F39" i="7" s="1"/>
  <c r="E38" i="7"/>
  <c r="E39" i="7" s="1"/>
  <c r="O96" i="4"/>
  <c r="AC55" i="3"/>
  <c r="V18" i="6" l="1"/>
  <c r="C81" i="2"/>
  <c r="V15" i="6"/>
  <c r="C78" i="2"/>
  <c r="O41" i="5"/>
  <c r="O43" i="5"/>
  <c r="B59" i="2"/>
  <c r="D10" i="8"/>
  <c r="D11" i="8" s="1"/>
  <c r="H65" i="4"/>
  <c r="G62" i="5"/>
  <c r="G174" i="5" s="1"/>
  <c r="I22" i="6"/>
  <c r="F114" i="5"/>
  <c r="F168" i="5" s="1"/>
  <c r="F166" i="5"/>
  <c r="E114" i="5"/>
  <c r="E168" i="5" s="1"/>
  <c r="E166" i="5"/>
  <c r="D114" i="5"/>
  <c r="D168" i="5" s="1"/>
  <c r="D166" i="5"/>
  <c r="Q91" i="4"/>
  <c r="P36" i="7"/>
  <c r="D22" i="6"/>
  <c r="O112" i="5"/>
  <c r="C114" i="5"/>
  <c r="C166" i="5"/>
  <c r="H114" i="5"/>
  <c r="H168" i="5" s="1"/>
  <c r="H166" i="5"/>
  <c r="G114" i="5"/>
  <c r="G168" i="5" s="1"/>
  <c r="G166" i="5"/>
  <c r="D20" i="6"/>
  <c r="P136" i="5"/>
  <c r="O109" i="5"/>
  <c r="I20" i="6"/>
  <c r="H111" i="5"/>
  <c r="H165" i="5" s="1"/>
  <c r="H163" i="5"/>
  <c r="E149" i="5"/>
  <c r="D10" i="6"/>
  <c r="O95" i="5"/>
  <c r="C149" i="5"/>
  <c r="D149" i="5"/>
  <c r="G149" i="5"/>
  <c r="F149" i="5"/>
  <c r="I10" i="6"/>
  <c r="H149" i="5"/>
  <c r="P127" i="5"/>
  <c r="D14" i="6"/>
  <c r="O100" i="5"/>
  <c r="C154" i="5"/>
  <c r="O154" i="5" s="1"/>
  <c r="G14" i="6" s="1"/>
  <c r="Q64" i="4"/>
  <c r="P9" i="7"/>
  <c r="C111" i="4"/>
  <c r="C68" i="4"/>
  <c r="C69" i="4"/>
  <c r="C70" i="4"/>
  <c r="C73" i="4"/>
  <c r="C80" i="4"/>
  <c r="C81" i="4"/>
  <c r="C107" i="4"/>
  <c r="C108" i="4"/>
  <c r="C63" i="5"/>
  <c r="C78" i="4"/>
  <c r="C72" i="5" s="1"/>
  <c r="O76" i="4"/>
  <c r="O109" i="4" s="1"/>
  <c r="Q109" i="4" s="1"/>
  <c r="C70" i="5"/>
  <c r="O61" i="5"/>
  <c r="C91" i="5"/>
  <c r="C173" i="5"/>
  <c r="D111" i="4"/>
  <c r="D68" i="4"/>
  <c r="D64" i="5" s="1"/>
  <c r="D69" i="4"/>
  <c r="D70" i="4"/>
  <c r="D73" i="4"/>
  <c r="D80" i="4"/>
  <c r="D81" i="4"/>
  <c r="D75" i="5" s="1"/>
  <c r="D107" i="4"/>
  <c r="D108" i="4"/>
  <c r="D63" i="5"/>
  <c r="D78" i="4"/>
  <c r="D72" i="5" s="1"/>
  <c r="D128" i="5" s="1"/>
  <c r="D70" i="5"/>
  <c r="D173" i="5"/>
  <c r="D175" i="5" s="1"/>
  <c r="D91" i="5"/>
  <c r="E111" i="4"/>
  <c r="E68" i="4"/>
  <c r="E64" i="5" s="1"/>
  <c r="E69" i="4"/>
  <c r="E70" i="4"/>
  <c r="E73" i="4"/>
  <c r="E80" i="4"/>
  <c r="E81" i="4"/>
  <c r="E75" i="5" s="1"/>
  <c r="E107" i="4"/>
  <c r="E108" i="4"/>
  <c r="E63" i="5"/>
  <c r="E78" i="4"/>
  <c r="E72" i="5" s="1"/>
  <c r="E128" i="5" s="1"/>
  <c r="E70" i="5"/>
  <c r="E173" i="5"/>
  <c r="E175" i="5" s="1"/>
  <c r="E91" i="5"/>
  <c r="F111" i="4"/>
  <c r="F68" i="4"/>
  <c r="F64" i="5" s="1"/>
  <c r="F69" i="4"/>
  <c r="F70" i="4"/>
  <c r="F73" i="4"/>
  <c r="F80" i="4"/>
  <c r="F81" i="4"/>
  <c r="F75" i="5" s="1"/>
  <c r="F107" i="4"/>
  <c r="F108" i="4"/>
  <c r="F63" i="5"/>
  <c r="F78" i="4"/>
  <c r="F72" i="5" s="1"/>
  <c r="F128" i="5" s="1"/>
  <c r="F70" i="5"/>
  <c r="C39" i="6"/>
  <c r="F91" i="5"/>
  <c r="F173" i="5"/>
  <c r="F175" i="5" s="1"/>
  <c r="G111" i="4"/>
  <c r="G68" i="4"/>
  <c r="G64" i="5" s="1"/>
  <c r="G69" i="4"/>
  <c r="G70" i="4"/>
  <c r="G73" i="4"/>
  <c r="G80" i="4"/>
  <c r="G81" i="4"/>
  <c r="G75" i="5" s="1"/>
  <c r="G107" i="4"/>
  <c r="G108" i="4"/>
  <c r="G63" i="5"/>
  <c r="G78" i="4"/>
  <c r="G72" i="5" s="1"/>
  <c r="G128" i="5" s="1"/>
  <c r="G70" i="5"/>
  <c r="G173" i="5"/>
  <c r="G175" i="5" s="1"/>
  <c r="G91" i="5"/>
  <c r="H78" i="4"/>
  <c r="H72" i="5" s="1"/>
  <c r="H128" i="5" s="1"/>
  <c r="H70" i="5"/>
  <c r="H91" i="5"/>
  <c r="I78" i="4"/>
  <c r="I72" i="5" s="1"/>
  <c r="I70" i="5"/>
  <c r="I99" i="5" s="1"/>
  <c r="I101" i="5" s="1"/>
  <c r="D76" i="2"/>
  <c r="J78" i="4"/>
  <c r="J72" i="5" s="1"/>
  <c r="J70" i="5"/>
  <c r="J99" i="5" s="1"/>
  <c r="J101" i="5" s="1"/>
  <c r="K78" i="4"/>
  <c r="K72" i="5" s="1"/>
  <c r="K70" i="5"/>
  <c r="K99" i="5" s="1"/>
  <c r="K101" i="5" s="1"/>
  <c r="L78" i="4"/>
  <c r="L72" i="5" s="1"/>
  <c r="L70" i="5"/>
  <c r="L99" i="5" s="1"/>
  <c r="L101" i="5" s="1"/>
  <c r="M78" i="4"/>
  <c r="M72" i="5" s="1"/>
  <c r="M70" i="5"/>
  <c r="M99" i="5" s="1"/>
  <c r="M101" i="5" s="1"/>
  <c r="N78" i="4"/>
  <c r="N72" i="5" s="1"/>
  <c r="N70" i="5"/>
  <c r="N99" i="5" s="1"/>
  <c r="N101" i="5" s="1"/>
  <c r="C138" i="5"/>
  <c r="O138" i="5" s="1"/>
  <c r="B57" i="2" s="1"/>
  <c r="O82" i="5"/>
  <c r="P138" i="5" s="1"/>
  <c r="Q87" i="4"/>
  <c r="O88" i="4"/>
  <c r="P32" i="7"/>
  <c r="C137" i="5"/>
  <c r="O137" i="5" s="1"/>
  <c r="O81" i="5"/>
  <c r="C110" i="5"/>
  <c r="D137" i="5"/>
  <c r="D110" i="5"/>
  <c r="E137" i="5"/>
  <c r="E110" i="5"/>
  <c r="F137" i="5"/>
  <c r="F110" i="5"/>
  <c r="G137" i="5"/>
  <c r="G110" i="5"/>
  <c r="C135" i="5"/>
  <c r="O135" i="5" s="1"/>
  <c r="B58" i="2" s="1"/>
  <c r="O79" i="5"/>
  <c r="Q84" i="4"/>
  <c r="O85" i="4"/>
  <c r="P29" i="7"/>
  <c r="O78" i="5"/>
  <c r="C107" i="5"/>
  <c r="C134" i="5"/>
  <c r="D107" i="5"/>
  <c r="D134" i="5"/>
  <c r="E107" i="5"/>
  <c r="E134" i="5"/>
  <c r="F107" i="5"/>
  <c r="F134" i="5"/>
  <c r="G107" i="5"/>
  <c r="G134" i="5"/>
  <c r="H107" i="5"/>
  <c r="H134" i="5"/>
  <c r="AB40" i="3"/>
  <c r="AB42" i="3"/>
  <c r="P97" i="4" s="1"/>
  <c r="P94" i="4"/>
  <c r="Q90" i="4"/>
  <c r="P35" i="7"/>
  <c r="C140" i="5"/>
  <c r="O140" i="5" s="1"/>
  <c r="O84" i="5"/>
  <c r="C113" i="5"/>
  <c r="I23" i="6"/>
  <c r="F167" i="5"/>
  <c r="K23" i="6" s="1"/>
  <c r="G40" i="7"/>
  <c r="C104" i="2" s="1"/>
  <c r="G42" i="7"/>
  <c r="P152" i="5"/>
  <c r="H12" i="6" s="1"/>
  <c r="G12" i="6"/>
  <c r="F40" i="7"/>
  <c r="C103" i="2" s="1"/>
  <c r="F42" i="7"/>
  <c r="E40" i="7"/>
  <c r="C102" i="2" s="1"/>
  <c r="E42" i="7"/>
  <c r="Q96" i="4"/>
  <c r="P41" i="7"/>
  <c r="C39" i="7"/>
  <c r="O139" i="5"/>
  <c r="P139" i="5" s="1"/>
  <c r="L14" i="6"/>
  <c r="U14" i="6" s="1"/>
  <c r="AC57" i="3"/>
  <c r="AC56" i="3"/>
  <c r="P141" i="5"/>
  <c r="O122" i="5"/>
  <c r="P122" i="5" s="1"/>
  <c r="AC38" i="3"/>
  <c r="AA39" i="3"/>
  <c r="H39" i="7"/>
  <c r="H15" i="7"/>
  <c r="D39" i="7"/>
  <c r="D15" i="7"/>
  <c r="N28" i="7" l="1"/>
  <c r="L28" i="7"/>
  <c r="K28" i="7"/>
  <c r="J28" i="7"/>
  <c r="M28" i="7"/>
  <c r="I28" i="7"/>
  <c r="L24" i="7"/>
  <c r="M24" i="7"/>
  <c r="N24" i="7"/>
  <c r="K24" i="7"/>
  <c r="I24" i="7"/>
  <c r="J24" i="7"/>
  <c r="G59" i="2"/>
  <c r="C59" i="2"/>
  <c r="H67" i="4"/>
  <c r="I65" i="4"/>
  <c r="H62" i="5"/>
  <c r="F22" i="6"/>
  <c r="P166" i="5"/>
  <c r="H22" i="6" s="1"/>
  <c r="M22" i="6" s="1"/>
  <c r="O114" i="5"/>
  <c r="C168" i="5"/>
  <c r="O168" i="5" s="1"/>
  <c r="F20" i="6"/>
  <c r="K20" i="6"/>
  <c r="L20" i="6" s="1"/>
  <c r="U20" i="6" s="1"/>
  <c r="O163" i="5"/>
  <c r="F10" i="6"/>
  <c r="P149" i="5"/>
  <c r="H10" i="6" s="1"/>
  <c r="M10" i="6" s="1"/>
  <c r="P154" i="5"/>
  <c r="H14" i="6" s="1"/>
  <c r="M14" i="6" s="1"/>
  <c r="F14" i="6"/>
  <c r="C64" i="5"/>
  <c r="C65" i="5"/>
  <c r="C74" i="4"/>
  <c r="C67" i="5"/>
  <c r="C82" i="4"/>
  <c r="C76" i="5" s="1"/>
  <c r="C110" i="4"/>
  <c r="C74" i="5"/>
  <c r="C75" i="5"/>
  <c r="C119" i="5"/>
  <c r="C90" i="5"/>
  <c r="C92" i="5"/>
  <c r="C128" i="5"/>
  <c r="O128" i="5" s="1"/>
  <c r="B55" i="2" s="1"/>
  <c r="O72" i="5"/>
  <c r="P128" i="5" s="1"/>
  <c r="O78" i="4"/>
  <c r="Q76" i="4"/>
  <c r="P21" i="7"/>
  <c r="O70" i="5"/>
  <c r="C99" i="5"/>
  <c r="C126" i="5"/>
  <c r="O126" i="5" s="1"/>
  <c r="C175" i="5"/>
  <c r="D120" i="5"/>
  <c r="D65" i="5"/>
  <c r="D121" i="5" s="1"/>
  <c r="D74" i="4"/>
  <c r="D67" i="5"/>
  <c r="D82" i="4"/>
  <c r="D76" i="5" s="1"/>
  <c r="D132" i="5" s="1"/>
  <c r="D110" i="4"/>
  <c r="D74" i="5"/>
  <c r="D104" i="5"/>
  <c r="D158" i="5" s="1"/>
  <c r="D131" i="5"/>
  <c r="D90" i="5"/>
  <c r="D93" i="5" s="1"/>
  <c r="D147" i="5" s="1"/>
  <c r="D92" i="5"/>
  <c r="D119" i="5"/>
  <c r="D176" i="5" s="1"/>
  <c r="D99" i="5"/>
  <c r="D126" i="5"/>
  <c r="E120" i="5"/>
  <c r="E65" i="5"/>
  <c r="E121" i="5" s="1"/>
  <c r="E74" i="4"/>
  <c r="E67" i="5"/>
  <c r="E82" i="4"/>
  <c r="E76" i="5" s="1"/>
  <c r="E132" i="5" s="1"/>
  <c r="E110" i="4"/>
  <c r="E74" i="5"/>
  <c r="E104" i="5"/>
  <c r="E158" i="5" s="1"/>
  <c r="E131" i="5"/>
  <c r="E119" i="5"/>
  <c r="E176" i="5" s="1"/>
  <c r="E90" i="5"/>
  <c r="E93" i="5" s="1"/>
  <c r="E147" i="5" s="1"/>
  <c r="E92" i="5"/>
  <c r="E99" i="5"/>
  <c r="E126" i="5"/>
  <c r="F120" i="5"/>
  <c r="F93" i="5"/>
  <c r="F65" i="5"/>
  <c r="F121" i="5" s="1"/>
  <c r="F74" i="4"/>
  <c r="F67" i="5"/>
  <c r="F82" i="4"/>
  <c r="F76" i="5" s="1"/>
  <c r="F132" i="5" s="1"/>
  <c r="F110" i="4"/>
  <c r="F74" i="5"/>
  <c r="F104" i="5"/>
  <c r="F131" i="5"/>
  <c r="F90" i="5"/>
  <c r="F92" i="5"/>
  <c r="F119" i="5"/>
  <c r="F176" i="5" s="1"/>
  <c r="F99" i="5"/>
  <c r="F126" i="5"/>
  <c r="G120" i="5"/>
  <c r="G65" i="5"/>
  <c r="G121" i="5" s="1"/>
  <c r="G74" i="4"/>
  <c r="G67" i="5"/>
  <c r="G82" i="4"/>
  <c r="G76" i="5" s="1"/>
  <c r="G132" i="5" s="1"/>
  <c r="G110" i="4"/>
  <c r="G74" i="5"/>
  <c r="G104" i="5"/>
  <c r="G158" i="5" s="1"/>
  <c r="G131" i="5"/>
  <c r="G90" i="5"/>
  <c r="G93" i="5" s="1"/>
  <c r="G147" i="5" s="1"/>
  <c r="G92" i="5"/>
  <c r="G119" i="5"/>
  <c r="G176" i="5" s="1"/>
  <c r="G99" i="5"/>
  <c r="G126" i="5"/>
  <c r="H99" i="5"/>
  <c r="H126" i="5"/>
  <c r="E57" i="2"/>
  <c r="F57" i="2"/>
  <c r="Q88" i="4"/>
  <c r="P33" i="7"/>
  <c r="P137" i="5"/>
  <c r="D21" i="6"/>
  <c r="C111" i="5"/>
  <c r="O110" i="5"/>
  <c r="C164" i="5"/>
  <c r="D111" i="5"/>
  <c r="D165" i="5" s="1"/>
  <c r="D164" i="5"/>
  <c r="E111" i="5"/>
  <c r="E165" i="5" s="1"/>
  <c r="E164" i="5"/>
  <c r="I21" i="6"/>
  <c r="F111" i="5"/>
  <c r="F165" i="5" s="1"/>
  <c r="F164" i="5"/>
  <c r="K21" i="6" s="1"/>
  <c r="G111" i="5"/>
  <c r="G165" i="5" s="1"/>
  <c r="G164" i="5"/>
  <c r="F58" i="2"/>
  <c r="E58" i="2"/>
  <c r="Q85" i="4"/>
  <c r="P30" i="7"/>
  <c r="D19" i="6"/>
  <c r="C108" i="5"/>
  <c r="O107" i="5"/>
  <c r="C161" i="5"/>
  <c r="D108" i="5"/>
  <c r="D162" i="5" s="1"/>
  <c r="D161" i="5"/>
  <c r="E108" i="5"/>
  <c r="E162" i="5" s="1"/>
  <c r="E161" i="5"/>
  <c r="I19" i="6"/>
  <c r="L19" i="6" s="1"/>
  <c r="U19" i="6" s="1"/>
  <c r="F108" i="5"/>
  <c r="F162" i="5" s="1"/>
  <c r="F161" i="5"/>
  <c r="K19" i="6" s="1"/>
  <c r="G108" i="5"/>
  <c r="G162" i="5" s="1"/>
  <c r="G161" i="5"/>
  <c r="H108" i="5"/>
  <c r="H162" i="5" s="1"/>
  <c r="H161" i="5"/>
  <c r="C17" i="9"/>
  <c r="C46" i="8"/>
  <c r="F9" i="1"/>
  <c r="P95" i="4"/>
  <c r="AC40" i="3"/>
  <c r="P140" i="5"/>
  <c r="D23" i="6"/>
  <c r="O113" i="5"/>
  <c r="C167" i="5"/>
  <c r="O167" i="5" s="1"/>
  <c r="G23" i="6" s="1"/>
  <c r="Q41" i="7"/>
  <c r="R41" i="7"/>
  <c r="C40" i="7"/>
  <c r="C100" i="2" s="1"/>
  <c r="C42" i="7"/>
  <c r="AA42" i="3"/>
  <c r="AC42" i="3" s="1"/>
  <c r="AC39" i="3"/>
  <c r="AA40" i="3"/>
  <c r="D17" i="9" s="1"/>
  <c r="H40" i="7"/>
  <c r="C105" i="2" s="1"/>
  <c r="H42" i="7"/>
  <c r="D40" i="7"/>
  <c r="C101" i="2" s="1"/>
  <c r="D42" i="7"/>
  <c r="K22" i="6"/>
  <c r="L22" i="6" s="1"/>
  <c r="U22" i="6" s="1"/>
  <c r="O166" i="5"/>
  <c r="G22" i="6" s="1"/>
  <c r="O149" i="5"/>
  <c r="G10" i="6" s="1"/>
  <c r="K10" i="6"/>
  <c r="L10" i="6" s="1"/>
  <c r="U10" i="6" s="1"/>
  <c r="P135" i="5"/>
  <c r="L23" i="6"/>
  <c r="U23" i="6" s="1"/>
  <c r="M12" i="6"/>
  <c r="O134" i="5"/>
  <c r="P134" i="5" s="1"/>
  <c r="O28" i="7" l="1"/>
  <c r="E81" i="2"/>
  <c r="F81" i="2" s="1"/>
  <c r="O24" i="7"/>
  <c r="E78" i="2"/>
  <c r="F78" i="2" s="1"/>
  <c r="H63" i="5"/>
  <c r="H108" i="4"/>
  <c r="H81" i="4"/>
  <c r="H80" i="4"/>
  <c r="H107" i="4" s="1"/>
  <c r="H73" i="4"/>
  <c r="H68" i="4"/>
  <c r="H69" i="4" s="1"/>
  <c r="H70" i="4" s="1"/>
  <c r="H111" i="4"/>
  <c r="I67" i="4"/>
  <c r="J65" i="4"/>
  <c r="I62" i="5"/>
  <c r="H173" i="5"/>
  <c r="H174" i="5"/>
  <c r="O174" i="5" s="1"/>
  <c r="E13" i="8" s="1"/>
  <c r="N22" i="6"/>
  <c r="Q22" i="6"/>
  <c r="T22" i="6"/>
  <c r="X22" i="6"/>
  <c r="N10" i="6"/>
  <c r="Q10" i="6"/>
  <c r="T10" i="6"/>
  <c r="X10" i="6"/>
  <c r="N14" i="6"/>
  <c r="Q14" i="6"/>
  <c r="T14" i="6"/>
  <c r="X14" i="6"/>
  <c r="C93" i="5"/>
  <c r="C120" i="5"/>
  <c r="C121" i="5"/>
  <c r="C68" i="5"/>
  <c r="C93" i="4"/>
  <c r="C123" i="5"/>
  <c r="C96" i="5"/>
  <c r="C132" i="5"/>
  <c r="C103" i="5"/>
  <c r="C130" i="5"/>
  <c r="C104" i="5"/>
  <c r="C131" i="5"/>
  <c r="C146" i="5"/>
  <c r="C94" i="5"/>
  <c r="F55" i="2"/>
  <c r="E55" i="2"/>
  <c r="P23" i="7"/>
  <c r="Q78" i="4"/>
  <c r="P126" i="5"/>
  <c r="D13" i="6"/>
  <c r="C101" i="5"/>
  <c r="O99" i="5"/>
  <c r="C153" i="5"/>
  <c r="O153" i="5" s="1"/>
  <c r="G13" i="6" s="1"/>
  <c r="C176" i="5"/>
  <c r="D68" i="5"/>
  <c r="D124" i="5" s="1"/>
  <c r="D93" i="4"/>
  <c r="D96" i="5"/>
  <c r="D123" i="5"/>
  <c r="D103" i="5"/>
  <c r="D130" i="5"/>
  <c r="D146" i="5"/>
  <c r="D94" i="5"/>
  <c r="D101" i="5"/>
  <c r="D155" i="5" s="1"/>
  <c r="D153" i="5"/>
  <c r="E68" i="5"/>
  <c r="E124" i="5" s="1"/>
  <c r="E93" i="4"/>
  <c r="E123" i="5"/>
  <c r="E96" i="5"/>
  <c r="E103" i="5"/>
  <c r="E130" i="5"/>
  <c r="E146" i="5"/>
  <c r="E94" i="5"/>
  <c r="E101" i="5"/>
  <c r="E155" i="5" s="1"/>
  <c r="E153" i="5"/>
  <c r="F147" i="5"/>
  <c r="F68" i="5"/>
  <c r="F124" i="5" s="1"/>
  <c r="F93" i="4"/>
  <c r="F96" i="5"/>
  <c r="F123" i="5"/>
  <c r="F103" i="5"/>
  <c r="F130" i="5"/>
  <c r="F158" i="5"/>
  <c r="F146" i="5"/>
  <c r="F94" i="5"/>
  <c r="F101" i="5"/>
  <c r="F155" i="5" s="1"/>
  <c r="I13" i="6"/>
  <c r="F153" i="5"/>
  <c r="K13" i="6" s="1"/>
  <c r="G68" i="5"/>
  <c r="G124" i="5" s="1"/>
  <c r="G93" i="4"/>
  <c r="G123" i="5"/>
  <c r="G96" i="5"/>
  <c r="G103" i="5"/>
  <c r="G130" i="5"/>
  <c r="G146" i="5"/>
  <c r="G94" i="5"/>
  <c r="G101" i="5"/>
  <c r="G155" i="5" s="1"/>
  <c r="G153" i="5"/>
  <c r="H101" i="5"/>
  <c r="H155" i="5" s="1"/>
  <c r="H153" i="5"/>
  <c r="C165" i="5"/>
  <c r="O165" i="5" s="1"/>
  <c r="O111" i="5"/>
  <c r="P165" i="5" s="1"/>
  <c r="F21" i="6"/>
  <c r="C162" i="5"/>
  <c r="O162" i="5" s="1"/>
  <c r="O108" i="5"/>
  <c r="P162" i="5" s="1"/>
  <c r="F19" i="6"/>
  <c r="P167" i="5"/>
  <c r="H23" i="6" s="1"/>
  <c r="M23" i="6" s="1"/>
  <c r="F23" i="6"/>
  <c r="N12" i="6"/>
  <c r="Q12" i="6"/>
  <c r="T12" i="6"/>
  <c r="X12" i="6"/>
  <c r="P168" i="5"/>
  <c r="O164" i="5"/>
  <c r="L21" i="6"/>
  <c r="U21" i="6" s="1"/>
  <c r="O161" i="5"/>
  <c r="G20" i="6"/>
  <c r="P163" i="5"/>
  <c r="H20" i="6" s="1"/>
  <c r="M20" i="6" s="1"/>
  <c r="Q28" i="7" l="1"/>
  <c r="R28" i="7" s="1"/>
  <c r="Q24" i="7"/>
  <c r="R24" i="7" s="1"/>
  <c r="O63" i="5"/>
  <c r="C40" i="6"/>
  <c r="H119" i="5"/>
  <c r="O119" i="5" s="1"/>
  <c r="H90" i="5"/>
  <c r="H92" i="5"/>
  <c r="H75" i="5"/>
  <c r="H82" i="4"/>
  <c r="H76" i="5" s="1"/>
  <c r="H110" i="4"/>
  <c r="H74" i="5"/>
  <c r="H74" i="4"/>
  <c r="H67" i="5"/>
  <c r="H65" i="5"/>
  <c r="H64" i="5"/>
  <c r="I63" i="5"/>
  <c r="I92" i="5" s="1"/>
  <c r="I108" i="4"/>
  <c r="I81" i="4"/>
  <c r="I80" i="4"/>
  <c r="I107" i="4" s="1"/>
  <c r="I73" i="4"/>
  <c r="I68" i="4"/>
  <c r="I111" i="4"/>
  <c r="J67" i="4"/>
  <c r="K65" i="4"/>
  <c r="J62" i="5"/>
  <c r="O173" i="5"/>
  <c r="E12" i="8" s="1"/>
  <c r="H175" i="5"/>
  <c r="V22" i="6"/>
  <c r="C85" i="2"/>
  <c r="V10" i="6"/>
  <c r="C73" i="2"/>
  <c r="V14" i="6"/>
  <c r="C77" i="2"/>
  <c r="C147" i="5"/>
  <c r="C124" i="5"/>
  <c r="C94" i="4"/>
  <c r="C86" i="5"/>
  <c r="C97" i="5"/>
  <c r="C150" i="5"/>
  <c r="C105" i="5"/>
  <c r="C157" i="5"/>
  <c r="C158" i="5"/>
  <c r="C148" i="5"/>
  <c r="C155" i="5"/>
  <c r="O155" i="5" s="1"/>
  <c r="O101" i="5"/>
  <c r="P155" i="5" s="1"/>
  <c r="F13" i="6"/>
  <c r="P153" i="5"/>
  <c r="H13" i="6" s="1"/>
  <c r="M13" i="6" s="1"/>
  <c r="D94" i="4"/>
  <c r="D86" i="5"/>
  <c r="D142" i="5" s="1"/>
  <c r="D97" i="5"/>
  <c r="D150" i="5"/>
  <c r="D105" i="5"/>
  <c r="D159" i="5" s="1"/>
  <c r="D157" i="5"/>
  <c r="D148" i="5"/>
  <c r="E94" i="4"/>
  <c r="E86" i="5"/>
  <c r="E142" i="5" s="1"/>
  <c r="E97" i="5"/>
  <c r="E150" i="5"/>
  <c r="E105" i="5"/>
  <c r="E159" i="5" s="1"/>
  <c r="E157" i="5"/>
  <c r="E148" i="5"/>
  <c r="F94" i="4"/>
  <c r="F86" i="5"/>
  <c r="F142" i="5" s="1"/>
  <c r="F97" i="5"/>
  <c r="F150" i="5"/>
  <c r="F105" i="5"/>
  <c r="F159" i="5" s="1"/>
  <c r="F157" i="5"/>
  <c r="F148" i="5"/>
  <c r="G94" i="4"/>
  <c r="G86" i="5"/>
  <c r="G142" i="5" s="1"/>
  <c r="G97" i="5"/>
  <c r="G150" i="5"/>
  <c r="G105" i="5"/>
  <c r="G159" i="5" s="1"/>
  <c r="G157" i="5"/>
  <c r="G148" i="5"/>
  <c r="N23" i="6"/>
  <c r="Q23" i="6"/>
  <c r="T23" i="6"/>
  <c r="X23" i="6"/>
  <c r="V12" i="6"/>
  <c r="C75" i="2"/>
  <c r="X20" i="6"/>
  <c r="T20" i="6"/>
  <c r="Q20" i="6"/>
  <c r="N20" i="6"/>
  <c r="L13" i="6"/>
  <c r="U13" i="6" s="1"/>
  <c r="G21" i="6"/>
  <c r="P164" i="5"/>
  <c r="H21" i="6" s="1"/>
  <c r="M21" i="6" s="1"/>
  <c r="G19" i="6"/>
  <c r="P161" i="5"/>
  <c r="H19" i="6" s="1"/>
  <c r="M19" i="6" s="1"/>
  <c r="C7" i="8" l="1"/>
  <c r="D8" i="6"/>
  <c r="P119" i="5"/>
  <c r="F7" i="8" s="1"/>
  <c r="O62" i="5"/>
  <c r="B52" i="2"/>
  <c r="E7" i="8"/>
  <c r="I8" i="6"/>
  <c r="O92" i="5"/>
  <c r="H146" i="5"/>
  <c r="O75" i="5"/>
  <c r="H104" i="5"/>
  <c r="H131" i="5"/>
  <c r="O131" i="5" s="1"/>
  <c r="O76" i="5"/>
  <c r="H132" i="5"/>
  <c r="O132" i="5" s="1"/>
  <c r="B56" i="2" s="1"/>
  <c r="O74" i="5"/>
  <c r="H103" i="5"/>
  <c r="H130" i="5"/>
  <c r="O130" i="5" s="1"/>
  <c r="H68" i="5"/>
  <c r="H93" i="4"/>
  <c r="O67" i="5"/>
  <c r="H96" i="5"/>
  <c r="H123" i="5"/>
  <c r="O123" i="5" s="1"/>
  <c r="O65" i="5"/>
  <c r="H121" i="5"/>
  <c r="O121" i="5" s="1"/>
  <c r="E8" i="8" s="1"/>
  <c r="O64" i="5"/>
  <c r="H93" i="5"/>
  <c r="H94" i="5" s="1"/>
  <c r="H120" i="5"/>
  <c r="O120" i="5" s="1"/>
  <c r="B53" i="2" s="1"/>
  <c r="I75" i="5"/>
  <c r="I104" i="5" s="1"/>
  <c r="I82" i="4"/>
  <c r="I76" i="5" s="1"/>
  <c r="I110" i="4"/>
  <c r="I74" i="5"/>
  <c r="I103" i="5" s="1"/>
  <c r="I74" i="4"/>
  <c r="I67" i="5"/>
  <c r="I96" i="5" s="1"/>
  <c r="I97" i="5" s="1"/>
  <c r="I64" i="5"/>
  <c r="I93" i="5" s="1"/>
  <c r="I94" i="5" s="1"/>
  <c r="J63" i="5"/>
  <c r="J92" i="5" s="1"/>
  <c r="J108" i="4"/>
  <c r="J81" i="4"/>
  <c r="J80" i="4"/>
  <c r="J107" i="4" s="1"/>
  <c r="J73" i="4"/>
  <c r="J68" i="4"/>
  <c r="J69" i="4" s="1"/>
  <c r="J70" i="4" s="1"/>
  <c r="J111" i="4"/>
  <c r="K67" i="4"/>
  <c r="L65" i="4"/>
  <c r="K62" i="5"/>
  <c r="O175" i="5"/>
  <c r="H176" i="5"/>
  <c r="O176" i="5" s="1"/>
  <c r="C43" i="8" s="1"/>
  <c r="N34" i="7"/>
  <c r="I34" i="7"/>
  <c r="K34" i="7"/>
  <c r="M34" i="7"/>
  <c r="J34" i="7"/>
  <c r="L34" i="7"/>
  <c r="I17" i="7"/>
  <c r="N17" i="7"/>
  <c r="J17" i="7"/>
  <c r="L17" i="7"/>
  <c r="M17" i="7"/>
  <c r="K17" i="7"/>
  <c r="I22" i="7"/>
  <c r="K22" i="7"/>
  <c r="L22" i="7"/>
  <c r="N22" i="7"/>
  <c r="J22" i="7"/>
  <c r="M22" i="7"/>
  <c r="C87" i="5"/>
  <c r="C97" i="4"/>
  <c r="C95" i="4"/>
  <c r="B100" i="2" s="1"/>
  <c r="C142" i="5"/>
  <c r="C115" i="5"/>
  <c r="C151" i="5"/>
  <c r="C159" i="5"/>
  <c r="N13" i="6"/>
  <c r="Q13" i="6"/>
  <c r="T13" i="6"/>
  <c r="X13" i="6"/>
  <c r="D87" i="5"/>
  <c r="D143" i="5" s="1"/>
  <c r="D97" i="4"/>
  <c r="D95" i="4"/>
  <c r="B101" i="2" s="1"/>
  <c r="D115" i="5"/>
  <c r="D151" i="5"/>
  <c r="E87" i="5"/>
  <c r="E143" i="5" s="1"/>
  <c r="E97" i="4"/>
  <c r="E95" i="4"/>
  <c r="B102" i="2" s="1"/>
  <c r="E115" i="5"/>
  <c r="E151" i="5"/>
  <c r="F87" i="5"/>
  <c r="F143" i="5" s="1"/>
  <c r="F97" i="4"/>
  <c r="F95" i="4"/>
  <c r="B103" i="2" s="1"/>
  <c r="F115" i="5"/>
  <c r="F151" i="5"/>
  <c r="G87" i="5"/>
  <c r="G143" i="5" s="1"/>
  <c r="G97" i="4"/>
  <c r="G95" i="4"/>
  <c r="B104" i="2" s="1"/>
  <c r="G115" i="5"/>
  <c r="G151" i="5"/>
  <c r="V23" i="6"/>
  <c r="C86" i="2"/>
  <c r="K20" i="7"/>
  <c r="M20" i="7"/>
  <c r="J20" i="7"/>
  <c r="L20" i="7"/>
  <c r="I20" i="7"/>
  <c r="N20" i="7"/>
  <c r="V20" i="6"/>
  <c r="C83" i="2"/>
  <c r="X21" i="6"/>
  <c r="Q21" i="6"/>
  <c r="T21" i="6" s="1"/>
  <c r="N21" i="6"/>
  <c r="X19" i="6"/>
  <c r="T19" i="6"/>
  <c r="Q19" i="6"/>
  <c r="N19" i="6"/>
  <c r="I69" i="4"/>
  <c r="F52" i="2" l="1"/>
  <c r="E52" i="2"/>
  <c r="F8" i="6"/>
  <c r="O146" i="5"/>
  <c r="K8" i="6"/>
  <c r="L8" i="6" s="1"/>
  <c r="O94" i="5"/>
  <c r="H148" i="5"/>
  <c r="O148" i="5" s="1"/>
  <c r="D17" i="6"/>
  <c r="P131" i="5"/>
  <c r="O104" i="5"/>
  <c r="I17" i="6"/>
  <c r="H158" i="5"/>
  <c r="E56" i="2"/>
  <c r="F56" i="2"/>
  <c r="D16" i="6"/>
  <c r="P130" i="5"/>
  <c r="I16" i="6"/>
  <c r="O103" i="5"/>
  <c r="H105" i="5"/>
  <c r="H157" i="5"/>
  <c r="O68" i="5"/>
  <c r="H124" i="5"/>
  <c r="O124" i="5" s="1"/>
  <c r="B54" i="2" s="1"/>
  <c r="H94" i="4"/>
  <c r="H86" i="5"/>
  <c r="D11" i="6"/>
  <c r="P123" i="5"/>
  <c r="I11" i="6"/>
  <c r="O96" i="5"/>
  <c r="H97" i="5"/>
  <c r="H150" i="5"/>
  <c r="C8" i="8"/>
  <c r="P121" i="5"/>
  <c r="F8" i="8" s="1"/>
  <c r="D9" i="6"/>
  <c r="P120" i="5"/>
  <c r="O93" i="5"/>
  <c r="I9" i="6"/>
  <c r="H147" i="5"/>
  <c r="F53" i="2"/>
  <c r="E53" i="2"/>
  <c r="I68" i="5"/>
  <c r="I93" i="4"/>
  <c r="J75" i="5"/>
  <c r="J104" i="5" s="1"/>
  <c r="J82" i="4"/>
  <c r="J76" i="5" s="1"/>
  <c r="J110" i="4"/>
  <c r="J74" i="5"/>
  <c r="J103" i="5" s="1"/>
  <c r="J105" i="5" s="1"/>
  <c r="J74" i="4"/>
  <c r="J67" i="5"/>
  <c r="J96" i="5" s="1"/>
  <c r="J97" i="5" s="1"/>
  <c r="J115" i="5" s="1"/>
  <c r="J65" i="5"/>
  <c r="J64" i="5"/>
  <c r="J93" i="5" s="1"/>
  <c r="J94" i="5" s="1"/>
  <c r="J116" i="5" s="1"/>
  <c r="K63" i="5"/>
  <c r="K92" i="5" s="1"/>
  <c r="K108" i="4"/>
  <c r="K81" i="4"/>
  <c r="K80" i="4"/>
  <c r="K107" i="4" s="1"/>
  <c r="K73" i="4"/>
  <c r="K68" i="4"/>
  <c r="K69" i="4" s="1"/>
  <c r="K70" i="4" s="1"/>
  <c r="K111" i="4"/>
  <c r="L67" i="4"/>
  <c r="M65" i="4"/>
  <c r="L62" i="5"/>
  <c r="O34" i="7"/>
  <c r="E85" i="2"/>
  <c r="F85" i="2" s="1"/>
  <c r="I36" i="7"/>
  <c r="E73" i="2"/>
  <c r="F73" i="2" s="1"/>
  <c r="O17" i="7"/>
  <c r="E77" i="2"/>
  <c r="F77" i="2" s="1"/>
  <c r="O22" i="7"/>
  <c r="Q22" i="7" s="1"/>
  <c r="R22" i="7" s="1"/>
  <c r="C143" i="5"/>
  <c r="C116" i="5"/>
  <c r="C169" i="5"/>
  <c r="V13" i="6"/>
  <c r="C76" i="2"/>
  <c r="D116" i="5"/>
  <c r="D170" i="5" s="1"/>
  <c r="D169" i="5"/>
  <c r="E116" i="5"/>
  <c r="E170" i="5" s="1"/>
  <c r="E169" i="5"/>
  <c r="F116" i="5"/>
  <c r="F170" i="5" s="1"/>
  <c r="F169" i="5"/>
  <c r="G116" i="5"/>
  <c r="G170" i="5" s="1"/>
  <c r="G169" i="5"/>
  <c r="N35" i="7"/>
  <c r="N36" i="7" s="1"/>
  <c r="M35" i="7"/>
  <c r="M36" i="7" s="1"/>
  <c r="L35" i="7"/>
  <c r="L36" i="7" s="1"/>
  <c r="K35" i="7"/>
  <c r="K36" i="7" s="1"/>
  <c r="J35" i="7"/>
  <c r="J36" i="7" s="1"/>
  <c r="I35" i="7"/>
  <c r="O20" i="7"/>
  <c r="E75" i="2"/>
  <c r="F75" i="2" s="1"/>
  <c r="I31" i="7"/>
  <c r="N31" i="7"/>
  <c r="K31" i="7"/>
  <c r="M31" i="7"/>
  <c r="J31" i="7"/>
  <c r="L31" i="7"/>
  <c r="B65" i="2"/>
  <c r="C65" i="2"/>
  <c r="V21" i="6"/>
  <c r="C84" i="2"/>
  <c r="V19" i="6"/>
  <c r="C82" i="2"/>
  <c r="I65" i="5"/>
  <c r="I70" i="4"/>
  <c r="P132" i="5"/>
  <c r="I105" i="5"/>
  <c r="I115" i="5" s="1"/>
  <c r="I116" i="5" s="1"/>
  <c r="F17" i="6" l="1"/>
  <c r="O158" i="5"/>
  <c r="K17" i="6"/>
  <c r="L17" i="6" s="1"/>
  <c r="U17" i="6" s="1"/>
  <c r="F16" i="6"/>
  <c r="O105" i="5"/>
  <c r="H159" i="5"/>
  <c r="O159" i="5" s="1"/>
  <c r="K16" i="6"/>
  <c r="L16" i="6" s="1"/>
  <c r="U16" i="6" s="1"/>
  <c r="O157" i="5"/>
  <c r="F54" i="2"/>
  <c r="E54" i="2"/>
  <c r="H87" i="5"/>
  <c r="H97" i="4"/>
  <c r="H95" i="4"/>
  <c r="B105" i="2" s="1"/>
  <c r="O86" i="5"/>
  <c r="H142" i="5"/>
  <c r="O142" i="5" s="1"/>
  <c r="E9" i="8" s="1"/>
  <c r="P150" i="5"/>
  <c r="H11" i="6" s="1"/>
  <c r="M11" i="6" s="1"/>
  <c r="F11" i="6"/>
  <c r="O97" i="5"/>
  <c r="H115" i="5"/>
  <c r="H151" i="5"/>
  <c r="O151" i="5" s="1"/>
  <c r="K11" i="6"/>
  <c r="L11" i="6" s="1"/>
  <c r="U11" i="6" s="1"/>
  <c r="O150" i="5"/>
  <c r="G11" i="6" s="1"/>
  <c r="F9" i="6"/>
  <c r="O147" i="5"/>
  <c r="K9" i="6"/>
  <c r="L9" i="6" s="1"/>
  <c r="U9" i="6" s="1"/>
  <c r="J68" i="5"/>
  <c r="J93" i="4"/>
  <c r="K75" i="5"/>
  <c r="K104" i="5" s="1"/>
  <c r="K82" i="4"/>
  <c r="K76" i="5" s="1"/>
  <c r="K110" i="4"/>
  <c r="K74" i="5"/>
  <c r="K103" i="5" s="1"/>
  <c r="K74" i="4"/>
  <c r="K67" i="5"/>
  <c r="K96" i="5" s="1"/>
  <c r="K97" i="5" s="1"/>
  <c r="K65" i="5"/>
  <c r="K64" i="5"/>
  <c r="K93" i="5" s="1"/>
  <c r="K94" i="5" s="1"/>
  <c r="L63" i="5"/>
  <c r="L92" i="5" s="1"/>
  <c r="L108" i="4"/>
  <c r="L81" i="4"/>
  <c r="L80" i="4"/>
  <c r="L107" i="4" s="1"/>
  <c r="L73" i="4"/>
  <c r="L68" i="4"/>
  <c r="L69" i="4" s="1"/>
  <c r="L70" i="4" s="1"/>
  <c r="L111" i="4"/>
  <c r="M67" i="4"/>
  <c r="N65" i="4"/>
  <c r="M62" i="5"/>
  <c r="Q34" i="7"/>
  <c r="R34" i="7" s="1"/>
  <c r="O36" i="7"/>
  <c r="Q36" i="7" s="1"/>
  <c r="R36" i="7" s="1"/>
  <c r="Q17" i="7"/>
  <c r="R17" i="7" s="1"/>
  <c r="C170" i="5"/>
  <c r="E86" i="2"/>
  <c r="F86" i="2" s="1"/>
  <c r="O35" i="7"/>
  <c r="Q35" i="7" s="1"/>
  <c r="R35" i="7" s="1"/>
  <c r="Q20" i="7"/>
  <c r="R20" i="7" s="1"/>
  <c r="O31" i="7"/>
  <c r="E83" i="2"/>
  <c r="F83" i="2" s="1"/>
  <c r="I33" i="7"/>
  <c r="N32" i="7"/>
  <c r="N33" i="7" s="1"/>
  <c r="M32" i="7"/>
  <c r="M33" i="7" s="1"/>
  <c r="L32" i="7"/>
  <c r="L33" i="7" s="1"/>
  <c r="K32" i="7"/>
  <c r="K33" i="7" s="1"/>
  <c r="J32" i="7"/>
  <c r="J33" i="7" s="1"/>
  <c r="I32" i="7"/>
  <c r="N29" i="7"/>
  <c r="N30" i="7" s="1"/>
  <c r="M29" i="7"/>
  <c r="M30" i="7" s="1"/>
  <c r="L29" i="7"/>
  <c r="L30" i="7" s="1"/>
  <c r="K29" i="7"/>
  <c r="K30" i="7" s="1"/>
  <c r="J29" i="7"/>
  <c r="J30" i="7" s="1"/>
  <c r="I29" i="7"/>
  <c r="P148" i="5"/>
  <c r="P124" i="5"/>
  <c r="G8" i="6"/>
  <c r="P146" i="5"/>
  <c r="H8" i="6" s="1"/>
  <c r="M8" i="6" s="1"/>
  <c r="I86" i="5"/>
  <c r="I94" i="4"/>
  <c r="O87" i="5" l="1"/>
  <c r="H143" i="5"/>
  <c r="O143" i="5" s="1"/>
  <c r="C9" i="8"/>
  <c r="P142" i="5"/>
  <c r="F9" i="8" s="1"/>
  <c r="N11" i="6"/>
  <c r="Q11" i="6"/>
  <c r="T11" i="6"/>
  <c r="X11" i="6"/>
  <c r="H116" i="5"/>
  <c r="O115" i="5"/>
  <c r="P169" i="5" s="1"/>
  <c r="H169" i="5"/>
  <c r="O169" i="5" s="1"/>
  <c r="J94" i="4"/>
  <c r="J86" i="5"/>
  <c r="K68" i="5"/>
  <c r="K93" i="4"/>
  <c r="L75" i="5"/>
  <c r="L104" i="5" s="1"/>
  <c r="L82" i="4"/>
  <c r="L76" i="5" s="1"/>
  <c r="L110" i="4"/>
  <c r="L74" i="5"/>
  <c r="L103" i="5" s="1"/>
  <c r="L74" i="4"/>
  <c r="L67" i="5"/>
  <c r="L96" i="5" s="1"/>
  <c r="L97" i="5" s="1"/>
  <c r="L65" i="5"/>
  <c r="L64" i="5"/>
  <c r="L93" i="5" s="1"/>
  <c r="L94" i="5" s="1"/>
  <c r="D71" i="2"/>
  <c r="M63" i="5"/>
  <c r="M92" i="5" s="1"/>
  <c r="M108" i="4"/>
  <c r="M81" i="4"/>
  <c r="M80" i="4"/>
  <c r="M107" i="4" s="1"/>
  <c r="M73" i="4"/>
  <c r="M68" i="4"/>
  <c r="M69" i="4" s="1"/>
  <c r="M70" i="4" s="1"/>
  <c r="M111" i="4"/>
  <c r="N67" i="4"/>
  <c r="N62" i="5"/>
  <c r="Q31" i="7"/>
  <c r="R31" i="7" s="1"/>
  <c r="E84" i="2"/>
  <c r="F84" i="2" s="1"/>
  <c r="O32" i="7"/>
  <c r="I30" i="7"/>
  <c r="E82" i="2"/>
  <c r="F82" i="2" s="1"/>
  <c r="O29" i="7"/>
  <c r="N8" i="6"/>
  <c r="C27" i="6"/>
  <c r="X8" i="6"/>
  <c r="T8" i="6"/>
  <c r="N10" i="7" s="1"/>
  <c r="Q8" i="6"/>
  <c r="I87" i="5"/>
  <c r="I97" i="4"/>
  <c r="I95" i="4"/>
  <c r="B106" i="2" s="1"/>
  <c r="P151" i="5"/>
  <c r="K105" i="5"/>
  <c r="K115" i="5" s="1"/>
  <c r="K116" i="5" s="1"/>
  <c r="P159" i="5"/>
  <c r="G17" i="6"/>
  <c r="P158" i="5"/>
  <c r="H17" i="6" s="1"/>
  <c r="M17" i="6" s="1"/>
  <c r="G16" i="6"/>
  <c r="W16" i="6" s="1"/>
  <c r="P157" i="5"/>
  <c r="H16" i="6" s="1"/>
  <c r="M16" i="6" s="1"/>
  <c r="G9" i="6"/>
  <c r="P147" i="5"/>
  <c r="H9" i="6" s="1"/>
  <c r="M9" i="6" s="1"/>
  <c r="B51" i="2" l="1"/>
  <c r="C10" i="8"/>
  <c r="C11" i="8" s="1"/>
  <c r="E11" i="8" s="1"/>
  <c r="P143" i="5"/>
  <c r="F10" i="8" s="1"/>
  <c r="D5" i="2"/>
  <c r="B90" i="2"/>
  <c r="E10" i="8"/>
  <c r="V11" i="6"/>
  <c r="C74" i="2"/>
  <c r="O116" i="5"/>
  <c r="H170" i="5"/>
  <c r="O170" i="5" s="1"/>
  <c r="J87" i="5"/>
  <c r="J97" i="4"/>
  <c r="J95" i="4"/>
  <c r="B107" i="2" s="1"/>
  <c r="K94" i="4"/>
  <c r="K86" i="5"/>
  <c r="L68" i="5"/>
  <c r="L93" i="4"/>
  <c r="D80" i="2"/>
  <c r="M75" i="5"/>
  <c r="M104" i="5" s="1"/>
  <c r="D79" i="2"/>
  <c r="M82" i="4"/>
  <c r="M76" i="5" s="1"/>
  <c r="M110" i="4"/>
  <c r="M74" i="5"/>
  <c r="M103" i="5" s="1"/>
  <c r="M105" i="5" s="1"/>
  <c r="D74" i="2"/>
  <c r="M74" i="4"/>
  <c r="M67" i="5"/>
  <c r="M96" i="5" s="1"/>
  <c r="M97" i="5" s="1"/>
  <c r="M115" i="5" s="1"/>
  <c r="M65" i="5"/>
  <c r="D72" i="2"/>
  <c r="O68" i="4"/>
  <c r="M64" i="5"/>
  <c r="M93" i="5" s="1"/>
  <c r="M94" i="5" s="1"/>
  <c r="O67" i="4"/>
  <c r="N63" i="5"/>
  <c r="N92" i="5" s="1"/>
  <c r="N108" i="4"/>
  <c r="N81" i="4"/>
  <c r="N80" i="4"/>
  <c r="N107" i="4" s="1"/>
  <c r="N73" i="4"/>
  <c r="N68" i="4"/>
  <c r="N69" i="4" s="1"/>
  <c r="N70" i="4" s="1"/>
  <c r="N111" i="4"/>
  <c r="O30" i="7"/>
  <c r="Q30" i="7" s="1"/>
  <c r="R30" i="7" s="1"/>
  <c r="Q29" i="7"/>
  <c r="R29" i="7" s="1"/>
  <c r="C24" i="8"/>
  <c r="J5" i="2"/>
  <c r="A36" i="8"/>
  <c r="D36" i="8"/>
  <c r="E36" i="8"/>
  <c r="C37" i="8"/>
  <c r="C38" i="8"/>
  <c r="E38" i="8"/>
  <c r="C39" i="8"/>
  <c r="E39" i="8"/>
  <c r="C40" i="8"/>
  <c r="E40" i="8"/>
  <c r="C36" i="8"/>
  <c r="A37" i="8"/>
  <c r="D37" i="8"/>
  <c r="A38" i="8"/>
  <c r="D38" i="8"/>
  <c r="A39" i="8"/>
  <c r="D39" i="8"/>
  <c r="A40" i="8"/>
  <c r="D40" i="8"/>
  <c r="M10" i="7"/>
  <c r="L10" i="7"/>
  <c r="K10" i="7"/>
  <c r="J10" i="7"/>
  <c r="I10" i="7"/>
  <c r="M9" i="7"/>
  <c r="L9" i="7"/>
  <c r="K9" i="7"/>
  <c r="J9" i="7"/>
  <c r="I9" i="7"/>
  <c r="N9" i="7"/>
  <c r="V8" i="6"/>
  <c r="C71" i="2"/>
  <c r="X17" i="6"/>
  <c r="T17" i="6"/>
  <c r="Q17" i="6"/>
  <c r="N17" i="6"/>
  <c r="X16" i="6"/>
  <c r="Q16" i="6"/>
  <c r="T16" i="6" s="1"/>
  <c r="E37" i="8" s="1"/>
  <c r="N16" i="6"/>
  <c r="X9" i="6"/>
  <c r="Q9" i="6"/>
  <c r="T9" i="6" s="1"/>
  <c r="N9" i="6"/>
  <c r="L105" i="5"/>
  <c r="L115" i="5" s="1"/>
  <c r="L116" i="5" s="1"/>
  <c r="Q32" i="7"/>
  <c r="R32" i="7" s="1"/>
  <c r="O33" i="7"/>
  <c r="Q33" i="7" s="1"/>
  <c r="R33" i="7" s="1"/>
  <c r="C51" i="2" l="1"/>
  <c r="G51" i="2"/>
  <c r="D90" i="2"/>
  <c r="C90" i="2"/>
  <c r="K87" i="5"/>
  <c r="K97" i="4"/>
  <c r="K95" i="4"/>
  <c r="B108" i="2" s="1"/>
  <c r="L94" i="4"/>
  <c r="L86" i="5"/>
  <c r="M68" i="5"/>
  <c r="M93" i="4"/>
  <c r="Q68" i="4"/>
  <c r="P13" i="7"/>
  <c r="O65" i="4"/>
  <c r="Q67" i="4"/>
  <c r="O111" i="4"/>
  <c r="Q111" i="4" s="1"/>
  <c r="O69" i="4"/>
  <c r="O70" i="4"/>
  <c r="O108" i="4"/>
  <c r="Q108" i="4" s="1"/>
  <c r="F10" i="1"/>
  <c r="P12" i="7"/>
  <c r="A5" i="2"/>
  <c r="O81" i="4"/>
  <c r="N26" i="7"/>
  <c r="N75" i="5"/>
  <c r="N104" i="5" s="1"/>
  <c r="O80" i="4"/>
  <c r="O107" i="4" s="1"/>
  <c r="N25" i="7"/>
  <c r="N27" i="7" s="1"/>
  <c r="N82" i="4"/>
  <c r="N76" i="5" s="1"/>
  <c r="N110" i="4"/>
  <c r="N74" i="5"/>
  <c r="N103" i="5" s="1"/>
  <c r="O73" i="4"/>
  <c r="N74" i="4"/>
  <c r="N18" i="7"/>
  <c r="N19" i="7" s="1"/>
  <c r="N67" i="5"/>
  <c r="N96" i="5" s="1"/>
  <c r="N97" i="5" s="1"/>
  <c r="N65" i="5"/>
  <c r="N64" i="5"/>
  <c r="N93" i="5" s="1"/>
  <c r="N94" i="5" s="1"/>
  <c r="M21" i="7"/>
  <c r="M23" i="7" s="1"/>
  <c r="M12" i="7"/>
  <c r="L21" i="7"/>
  <c r="L23" i="7" s="1"/>
  <c r="L12" i="7"/>
  <c r="K21" i="7"/>
  <c r="K23" i="7" s="1"/>
  <c r="K12" i="7"/>
  <c r="J21" i="7"/>
  <c r="J23" i="7" s="1"/>
  <c r="J12" i="7"/>
  <c r="I21" i="7"/>
  <c r="I12" i="7"/>
  <c r="O9" i="7"/>
  <c r="N21" i="7"/>
  <c r="N23" i="7" s="1"/>
  <c r="N12" i="7"/>
  <c r="V17" i="6"/>
  <c r="C80" i="2"/>
  <c r="C64" i="2"/>
  <c r="B64" i="2"/>
  <c r="V16" i="6"/>
  <c r="C79" i="2"/>
  <c r="C66" i="2"/>
  <c r="B66" i="2"/>
  <c r="V9" i="6"/>
  <c r="N13" i="7" s="1"/>
  <c r="C72" i="2"/>
  <c r="P170" i="5"/>
  <c r="M116" i="5"/>
  <c r="C36" i="6"/>
  <c r="C45" i="8" s="1"/>
  <c r="C34" i="6"/>
  <c r="C31" i="8" s="1"/>
  <c r="C33" i="6"/>
  <c r="C30" i="8" s="1"/>
  <c r="C32" i="6"/>
  <c r="C29" i="8" s="1"/>
  <c r="C31" i="6"/>
  <c r="C52" i="2" l="1"/>
  <c r="D52" i="2"/>
  <c r="L87" i="5"/>
  <c r="L97" i="4"/>
  <c r="L95" i="4"/>
  <c r="B109" i="2" s="1"/>
  <c r="M94" i="4"/>
  <c r="M86" i="5"/>
  <c r="P10" i="7"/>
  <c r="Q65" i="4"/>
  <c r="Q69" i="4"/>
  <c r="P14" i="7"/>
  <c r="Q70" i="4"/>
  <c r="P15" i="7"/>
  <c r="Q107" i="4"/>
  <c r="P44" i="7"/>
  <c r="C17" i="8"/>
  <c r="C21" i="8" s="1"/>
  <c r="Q81" i="4"/>
  <c r="P26" i="7"/>
  <c r="O82" i="4"/>
  <c r="Q80" i="4"/>
  <c r="O110" i="4"/>
  <c r="Q110" i="4" s="1"/>
  <c r="P25" i="7"/>
  <c r="O74" i="4"/>
  <c r="Q73" i="4"/>
  <c r="P18" i="7"/>
  <c r="N68" i="5"/>
  <c r="N93" i="4"/>
  <c r="M13" i="7"/>
  <c r="M18" i="7"/>
  <c r="M19" i="7" s="1"/>
  <c r="M38" i="7" s="1"/>
  <c r="M14" i="7"/>
  <c r="M39" i="7" s="1"/>
  <c r="M42" i="7" s="1"/>
  <c r="M15" i="7"/>
  <c r="M40" i="7"/>
  <c r="C110" i="2" s="1"/>
  <c r="M44" i="7"/>
  <c r="L13" i="7"/>
  <c r="L14" i="7" s="1"/>
  <c r="L18" i="7"/>
  <c r="L19" i="7" s="1"/>
  <c r="K13" i="7"/>
  <c r="K18" i="7"/>
  <c r="K19" i="7" s="1"/>
  <c r="K14" i="7"/>
  <c r="K15" i="7"/>
  <c r="J18" i="7"/>
  <c r="J19" i="7" s="1"/>
  <c r="J13" i="7"/>
  <c r="J14" i="7"/>
  <c r="J15" i="7"/>
  <c r="I23" i="7"/>
  <c r="E76" i="2"/>
  <c r="F76" i="2" s="1"/>
  <c r="O21" i="7"/>
  <c r="I13" i="7"/>
  <c r="I18" i="7"/>
  <c r="O12" i="7"/>
  <c r="O10" i="7" s="1"/>
  <c r="Q10" i="7" s="1"/>
  <c r="R10" i="7" s="1"/>
  <c r="E71" i="2"/>
  <c r="F71" i="2" s="1"/>
  <c r="I14" i="7"/>
  <c r="I15" i="7" s="1"/>
  <c r="Q9" i="7"/>
  <c r="R9" i="7" s="1"/>
  <c r="N14" i="7"/>
  <c r="N15" i="7"/>
  <c r="N44" i="7"/>
  <c r="M26" i="7"/>
  <c r="L26" i="7"/>
  <c r="K26" i="7"/>
  <c r="J26" i="7"/>
  <c r="I26" i="7"/>
  <c r="M25" i="7"/>
  <c r="M27" i="7" s="1"/>
  <c r="L25" i="7"/>
  <c r="K25" i="7"/>
  <c r="J25" i="7"/>
  <c r="I25" i="7"/>
  <c r="I44" i="7" s="1"/>
  <c r="C44" i="8"/>
  <c r="C28" i="8"/>
  <c r="N105" i="5"/>
  <c r="N115" i="5" s="1"/>
  <c r="N116" i="5" s="1"/>
  <c r="N38" i="7"/>
  <c r="C53" i="2" l="1"/>
  <c r="D53" i="2"/>
  <c r="M87" i="5"/>
  <c r="M97" i="4"/>
  <c r="M95" i="4"/>
  <c r="B110" i="2" s="1"/>
  <c r="C18" i="8"/>
  <c r="Q26" i="7"/>
  <c r="R26" i="7" s="1"/>
  <c r="P27" i="7"/>
  <c r="Q82" i="4"/>
  <c r="P19" i="7"/>
  <c r="O93" i="4"/>
  <c r="Q74" i="4"/>
  <c r="N94" i="4"/>
  <c r="N86" i="5"/>
  <c r="O23" i="7"/>
  <c r="Q23" i="7" s="1"/>
  <c r="R23" i="7" s="1"/>
  <c r="Q21" i="7"/>
  <c r="R21" i="7" s="1"/>
  <c r="E72" i="2"/>
  <c r="F72" i="2" s="1"/>
  <c r="O13" i="7"/>
  <c r="I19" i="7"/>
  <c r="I38" i="7" s="1"/>
  <c r="I39" i="7" s="1"/>
  <c r="E74" i="2"/>
  <c r="F74" i="2" s="1"/>
  <c r="O18" i="7"/>
  <c r="B5" i="2"/>
  <c r="F12" i="1"/>
  <c r="D17" i="8"/>
  <c r="D21" i="8" s="1"/>
  <c r="Q12" i="7"/>
  <c r="E80" i="2"/>
  <c r="F80" i="2" s="1"/>
  <c r="B92" i="2" s="1"/>
  <c r="O26" i="7"/>
  <c r="E79" i="2"/>
  <c r="F79" i="2" s="1"/>
  <c r="B93" i="2" s="1"/>
  <c r="O25" i="7"/>
  <c r="I27" i="7"/>
  <c r="N39" i="7"/>
  <c r="L15" i="7"/>
  <c r="L27" i="7"/>
  <c r="L38" i="7" s="1"/>
  <c r="L39" i="7" s="1"/>
  <c r="L44" i="7"/>
  <c r="K27" i="7"/>
  <c r="K38" i="7" s="1"/>
  <c r="K39" i="7" s="1"/>
  <c r="K44" i="7"/>
  <c r="J27" i="7"/>
  <c r="J38" i="7" s="1"/>
  <c r="J39" i="7" s="1"/>
  <c r="J44" i="7"/>
  <c r="C54" i="2" l="1"/>
  <c r="D54" i="2" s="1"/>
  <c r="Q27" i="7"/>
  <c r="R27" i="7"/>
  <c r="Q19" i="7"/>
  <c r="R19" i="7"/>
  <c r="O94" i="4"/>
  <c r="Q93" i="4"/>
  <c r="P38" i="7"/>
  <c r="N87" i="5"/>
  <c r="N97" i="4"/>
  <c r="N95" i="4"/>
  <c r="B111" i="2" s="1"/>
  <c r="I40" i="7"/>
  <c r="C106" i="2" s="1"/>
  <c r="I42" i="7"/>
  <c r="R12" i="7"/>
  <c r="F17" i="8" s="1"/>
  <c r="E17" i="8"/>
  <c r="C93" i="2"/>
  <c r="D93" i="2"/>
  <c r="N40" i="7"/>
  <c r="C111" i="2" s="1"/>
  <c r="N42" i="7"/>
  <c r="L40" i="7"/>
  <c r="C109" i="2" s="1"/>
  <c r="L42" i="7"/>
  <c r="K40" i="7"/>
  <c r="C108" i="2" s="1"/>
  <c r="K42" i="7"/>
  <c r="J40" i="7"/>
  <c r="C107" i="2" s="1"/>
  <c r="J42" i="7"/>
  <c r="B91" i="2"/>
  <c r="Q13" i="7"/>
  <c r="R13" i="7" s="1"/>
  <c r="O14" i="7"/>
  <c r="O19" i="7"/>
  <c r="O38" i="7" s="1"/>
  <c r="Q18" i="7"/>
  <c r="R18" i="7" s="1"/>
  <c r="C92" i="2"/>
  <c r="D92" i="2"/>
  <c r="O27" i="7"/>
  <c r="Q25" i="7"/>
  <c r="R25" i="7" s="1"/>
  <c r="O44" i="7"/>
  <c r="Q44" i="7" s="1"/>
  <c r="C55" i="2" l="1"/>
  <c r="D55" i="2"/>
  <c r="P39" i="7"/>
  <c r="O97" i="4"/>
  <c r="Q94" i="4"/>
  <c r="O95" i="4"/>
  <c r="Q38" i="7"/>
  <c r="R38" i="7"/>
  <c r="D91" i="2"/>
  <c r="C91" i="2"/>
  <c r="D18" i="8"/>
  <c r="O39" i="7"/>
  <c r="Q14" i="7"/>
  <c r="O15" i="7"/>
  <c r="Q15" i="7" s="1"/>
  <c r="C56" i="2" l="1"/>
  <c r="D56" i="2"/>
  <c r="R39" i="7"/>
  <c r="F19" i="8" s="1"/>
  <c r="C19" i="8"/>
  <c r="Q97" i="4"/>
  <c r="P42" i="7"/>
  <c r="F11" i="1"/>
  <c r="P40" i="7"/>
  <c r="C20" i="8" s="1"/>
  <c r="F5" i="2"/>
  <c r="Q95" i="4"/>
  <c r="O40" i="7"/>
  <c r="Q39" i="7"/>
  <c r="E19" i="8" s="1"/>
  <c r="D19" i="8"/>
  <c r="O42" i="7"/>
  <c r="Q42" i="7" s="1"/>
  <c r="B94" i="2"/>
  <c r="B95" i="2"/>
  <c r="R14" i="7"/>
  <c r="F18" i="8" s="1"/>
  <c r="E18" i="8"/>
  <c r="C57" i="2" l="1"/>
  <c r="D57" i="2" s="1"/>
  <c r="F13" i="1"/>
  <c r="H5" i="2"/>
  <c r="D20" i="8"/>
  <c r="E20" i="8" s="1"/>
  <c r="Q40" i="7"/>
  <c r="C94" i="2"/>
  <c r="D94" i="2"/>
  <c r="E95" i="2"/>
  <c r="B96" i="2"/>
  <c r="R42" i="7"/>
  <c r="C58" i="2" l="1"/>
  <c r="B60" i="2" l="1"/>
  <c r="D58" i="2"/>
</calcChain>
</file>

<file path=xl/sharedStrings.xml><?xml version="1.0" encoding="utf-8"?>
<sst xmlns="http://schemas.openxmlformats.org/spreadsheetml/2006/main" count="1068" uniqueCount="374">
  <si>
    <t>Variance-to-Action FP&amp;A Model</t>
  </si>
  <si>
    <t>Fictional Indian D2C brand · FY27 budget, variance analysis and rolling forecast</t>
  </si>
  <si>
    <t>Prepared by</t>
  </si>
  <si>
    <t>Debayan Bandyopadhyay</t>
  </si>
  <si>
    <t>The company is FICTIONAL. Cost ratios are benchmarked to Honasa Consumer FY26 public disclosures; no real company financials are represented.</t>
  </si>
  <si>
    <t>Snapshot</t>
  </si>
  <si>
    <t>FY26 net revenue (₹ crore)</t>
  </si>
  <si>
    <t>FY26 EBITDA margin</t>
  </si>
  <si>
    <t>FY27 budget net revenue (₹ crore)</t>
  </si>
  <si>
    <t>FY27 budget EBITDA margin</t>
  </si>
  <si>
    <t>FY27 rolling forecast net revenue (₹ crore)</t>
  </si>
  <si>
    <t>FY27 rolling forecast EBITDA margin</t>
  </si>
  <si>
    <t>Actuals loaded through</t>
  </si>
  <si>
    <t>Workbook map</t>
  </si>
  <si>
    <t>Executive Dashboard</t>
  </si>
  <si>
    <t>One-page view: KPI tiles, two EBITDA bridges, variance by cause, monthly margin trend</t>
  </si>
  <si>
    <t>Historical Data</t>
  </si>
  <si>
    <t>24 months of synthetic history across Sales, Operations, Marketing, HR, IT and Finance</t>
  </si>
  <si>
    <t>Assumptions &amp; Budget</t>
  </si>
  <si>
    <t>All drivers in labelled cells; monthly FY27 budget built from them</t>
  </si>
  <si>
    <t>Actual vs Budget</t>
  </si>
  <si>
    <t>Actuals input, flexed budget, ₹ variances (favourable = +), revenue volume vs price split</t>
  </si>
  <si>
    <t>Variance-to-Action Log</t>
  </si>
  <si>
    <t>Materiality test, Timing / One-off / Structural classification, action and override</t>
  </si>
  <si>
    <t>Rolling Forecast</t>
  </si>
  <si>
    <t>Actuals to date + forecast re-based for structural variances, timing reversals and cuts</t>
  </si>
  <si>
    <t>Summary</t>
  </si>
  <si>
    <t>YTD result, FY27 outlook, log statistics, top adverse variances, integrity checks</t>
  </si>
  <si>
    <t>Model Notes</t>
  </si>
  <si>
    <t>Method, benchmark, assumptions, limitations</t>
  </si>
  <si>
    <t>Colour code</t>
  </si>
  <si>
    <t>Blue text</t>
  </si>
  <si>
    <t>Hard-coded input or assumption</t>
  </si>
  <si>
    <t>Black text</t>
  </si>
  <si>
    <t>Formula</t>
  </si>
  <si>
    <t>Green text</t>
  </si>
  <si>
    <t>Direct link from another sheet</t>
  </si>
  <si>
    <t>Yellow fill</t>
  </si>
  <si>
    <t>Key assumption to flex</t>
  </si>
  <si>
    <t>Executive Dashboard – FY27 Budget, Performance and Outlook</t>
  </si>
  <si>
    <t>FY27 budget revenue (₹ crore)</t>
  </si>
  <si>
    <t>FY27 forecast revenue (₹ crore)</t>
  </si>
  <si>
    <t>YTD EBITDA vs budget (₹ lakh)</t>
  </si>
  <si>
    <t>FY27 forecast EBITDA margin</t>
  </si>
  <si>
    <t>Material variances (no.)</t>
  </si>
  <si>
    <t>Reading the charts: green = favourable, red = unfavourable, navy = totals. Bridges tie to the model (check cells in the chart data below). The cause chart uses the trigger variance from the Variance-to-Action Log.</t>
  </si>
  <si>
    <t>Chart data (formulas only; feeds the charts above)</t>
  </si>
  <si>
    <t>Step</t>
  </si>
  <si>
    <t>Value</t>
  </si>
  <si>
    <t>Cumulative</t>
  </si>
  <si>
    <t>Base (hidden)</t>
  </si>
  <si>
    <t>Increase</t>
  </si>
  <si>
    <t>Decrease</t>
  </si>
  <si>
    <t>Total</t>
  </si>
  <si>
    <t>Budget</t>
  </si>
  <si>
    <t>Revenue</t>
  </si>
  <si>
    <t>COGS</t>
  </si>
  <si>
    <t>Sales</t>
  </si>
  <si>
    <t>Operations</t>
  </si>
  <si>
    <t>Marketing</t>
  </si>
  <si>
    <t>IT</t>
  </si>
  <si>
    <t>HR + Finance</t>
  </si>
  <si>
    <t>Actual</t>
  </si>
  <si>
    <t>Tie-out (should be 0)</t>
  </si>
  <si>
    <t>Cause</t>
  </si>
  <si>
    <t>Adverse (₹ lakh)</t>
  </si>
  <si>
    <t>Favourable (₹ lakh)</t>
  </si>
  <si>
    <t>Timing</t>
  </si>
  <si>
    <t>One-off</t>
  </si>
  <si>
    <t>Structural</t>
  </si>
  <si>
    <t>Line (open months)</t>
  </si>
  <si>
    <t>Final action</t>
  </si>
  <si>
    <t>Budget – open months</t>
  </si>
  <si>
    <t>Forecast – open months</t>
  </si>
  <si>
    <t>EBITDA effect</t>
  </si>
  <si>
    <t>Adverse</t>
  </si>
  <si>
    <t>Favourable</t>
  </si>
  <si>
    <t>Net vs budget</t>
  </si>
  <si>
    <t>YTD variance</t>
  </si>
  <si>
    <t>Structural re-forecasts</t>
  </si>
  <si>
    <t>Cut-spend recovery</t>
  </si>
  <si>
    <t>Timing reversal</t>
  </si>
  <si>
    <t>Other / residual</t>
  </si>
  <si>
    <t>Month</t>
  </si>
  <si>
    <t>Budget EBITDA margin</t>
  </si>
  <si>
    <t>Actual / forecast EBITDA margin</t>
  </si>
  <si>
    <t>Historical Data – 24 months (Apr-24 to Mar-26)</t>
  </si>
  <si>
    <t>Fictional Indian D2C company. Amounts in ₹ lakh unless stated (100 lakh = ₹1 crore). Values are synthetic; ratios benchmarked to Honasa Consumer FY26.</t>
  </si>
  <si>
    <t>Blue = hard-coded input (synthetic history) · Black = formula · Green = link from another sheet</t>
  </si>
  <si>
    <t>Line item</t>
  </si>
  <si>
    <t>Unit</t>
  </si>
  <si>
    <t>FY25</t>
  </si>
  <si>
    <t>FY26</t>
  </si>
  <si>
    <t>YoY % / Δ pp</t>
  </si>
  <si>
    <t>Fiscal year (Apr–Mar)</t>
  </si>
  <si>
    <t>Revenue drivers</t>
  </si>
  <si>
    <t>Seasonality index</t>
  </si>
  <si>
    <t>index</t>
  </si>
  <si>
    <t>Orders (no.)</t>
  </si>
  <si>
    <t>no.</t>
  </si>
  <si>
    <t>Net AOV (₹ per order)</t>
  </si>
  <si>
    <t>₹</t>
  </si>
  <si>
    <t>Profit &amp; loss (₹ lakh)</t>
  </si>
  <si>
    <t>Net revenue</t>
  </si>
  <si>
    <t>₹ lakh</t>
  </si>
  <si>
    <t>Cost of goods sold</t>
  </si>
  <si>
    <t>Gross profit</t>
  </si>
  <si>
    <t>Gross margin %</t>
  </si>
  <si>
    <t>%</t>
  </si>
  <si>
    <t>Operating costs by cost centre (₹ lakh)</t>
  </si>
  <si>
    <t>Sales – personnel</t>
  </si>
  <si>
    <t>Sales – marketplace &amp; payment fees</t>
  </si>
  <si>
    <t>Sales – total</t>
  </si>
  <si>
    <t>Operations – personnel</t>
  </si>
  <si>
    <t>Operations – fulfilment &amp; logistics</t>
  </si>
  <si>
    <t>Operations – warehouse, QC &amp; other</t>
  </si>
  <si>
    <t>Operations – total</t>
  </si>
  <si>
    <t>Marketing – personnel</t>
  </si>
  <si>
    <t>Marketing – performance marketing</t>
  </si>
  <si>
    <t>Marketing – brand &amp; influencer</t>
  </si>
  <si>
    <t>Marketing – total</t>
  </si>
  <si>
    <t>HR – personnel</t>
  </si>
  <si>
    <t>HR – recruitment, training &amp; other</t>
  </si>
  <si>
    <t>HR – total</t>
  </si>
  <si>
    <t>IT – personnel</t>
  </si>
  <si>
    <t>IT – software, cloud &amp; other</t>
  </si>
  <si>
    <t>IT – total</t>
  </si>
  <si>
    <t>Finance – personnel</t>
  </si>
  <si>
    <t>Finance – professional fees, rent &amp; admin</t>
  </si>
  <si>
    <t>Finance – total</t>
  </si>
  <si>
    <t>Total operating cost &amp; profitability (₹ lakh)</t>
  </si>
  <si>
    <t>Total operating cost</t>
  </si>
  <si>
    <t>EBITDA</t>
  </si>
  <si>
    <t>EBITDA margin %</t>
  </si>
  <si>
    <t>Depreciation &amp; amortisation</t>
  </si>
  <si>
    <t>EBIT</t>
  </si>
  <si>
    <t>Headcount (closing)</t>
  </si>
  <si>
    <t>Headcount – Sales</t>
  </si>
  <si>
    <t>Headcount – Operations</t>
  </si>
  <si>
    <t>Headcount – Marketing</t>
  </si>
  <si>
    <t>Headcount – HR</t>
  </si>
  <si>
    <t>Headcount – IT</t>
  </si>
  <si>
    <t>Headcount – Finance</t>
  </si>
  <si>
    <t>Headcount – total</t>
  </si>
  <si>
    <t>Operating metrics</t>
  </si>
  <si>
    <t>Marketing spend % of revenue</t>
  </si>
  <si>
    <t>Employee cost % of revenue</t>
  </si>
  <si>
    <t>Fulfilment cost per order (₹)</t>
  </si>
  <si>
    <t>ROAS (revenue ÷ marketing spend)</t>
  </si>
  <si>
    <t>x</t>
  </si>
  <si>
    <t>Revenue per head per month (₹ lakh)</t>
  </si>
  <si>
    <t>Avg personnel cost per head per month (₹ lakh)</t>
  </si>
  <si>
    <t>Memo</t>
  </si>
  <si>
    <t>One-off items included in costs above</t>
  </si>
  <si>
    <t>Events built into the history (so later variance analysis has realistic patterns to classify)</t>
  </si>
  <si>
    <t>Cost line</t>
  </si>
  <si>
    <t>Event</t>
  </si>
  <si>
    <t>Type</t>
  </si>
  <si>
    <t>ERP implementation cost (+₹120 lakh)</t>
  </si>
  <si>
    <t>Marketing – performance</t>
  </si>
  <si>
    <t>Festive campaign spend pulled forward into Sep (reverses in Oct)</t>
  </si>
  <si>
    <t>Operations – warehouse &amp; other</t>
  </si>
  <si>
    <t>Warehouse relocation (+₹90 lakh)</t>
  </si>
  <si>
    <t>Operations – fulfilment</t>
  </si>
  <si>
    <t>Courier rate hike, about +₹4 per order, permanent</t>
  </si>
  <si>
    <t>Finance – prof. fees &amp; admin</t>
  </si>
  <si>
    <t>GST assessment settlement (+₹55 lakh)</t>
  </si>
  <si>
    <t>All personnel lines</t>
  </si>
  <si>
    <t>Annual appraisal cycle, +7% cost per head</t>
  </si>
  <si>
    <t>IT – personnel &amp; software</t>
  </si>
  <si>
    <t>6 additional tech hires and new tooling</t>
  </si>
  <si>
    <t>Assumptions &amp; FY27 Budget (Apr-26 to Mar-27)</t>
  </si>
  <si>
    <t>Part A: every driver in its own labelled cell. Part B: monthly budget built from those drivers. ₹ lakh unless stated.</t>
  </si>
  <si>
    <t>Yellow fill / blue text = key assumption you can change · Black = formula · Green = link from another sheet</t>
  </si>
  <si>
    <t>A1. General settings</t>
  </si>
  <si>
    <t>Actuals loaded through (first day of month)</t>
  </si>
  <si>
    <t>date</t>
  </si>
  <si>
    <t>Change when a new month of actuals is entered on the Actual vs Budget sheet</t>
  </si>
  <si>
    <t>Months of actuals elapsed in FY27</t>
  </si>
  <si>
    <t>months</t>
  </si>
  <si>
    <t>Materiality – % of budget</t>
  </si>
  <si>
    <t>A variance is material only if it breaches BOTH the % and ₹ thresholds</t>
  </si>
  <si>
    <t>Materiality – absolute amount</t>
  </si>
  <si>
    <t>Tested on YTD variance and on the run-rate (look-back) variance</t>
  </si>
  <si>
    <t>Run-rate look-back window</t>
  </si>
  <si>
    <t>Used to catch variances that only started recently</t>
  </si>
  <si>
    <t>Timing-variance reversal period</t>
  </si>
  <si>
    <t>Timing variances are assumed to reverse evenly over this many forecast months</t>
  </si>
  <si>
    <t>Cut-spend recovery %</t>
  </si>
  <si>
    <t>Share of the run-rate overspend assumed recovered when action = Cut spend</t>
  </si>
  <si>
    <t>A2. Revenue drivers</t>
  </si>
  <si>
    <t>FY27 order growth vs FY26</t>
  </si>
  <si>
    <t>Honasa FY26 revenue growth was about 16%; slower growth assumed as base scales</t>
  </si>
  <si>
    <t>Monthly net AOV growth (from Mar-26 AOV)</t>
  </si>
  <si>
    <t>% / month</t>
  </si>
  <si>
    <t>About +3.7% a year: modest price/mix, no big price rise</t>
  </si>
  <si>
    <t>A3. Cost drivers</t>
  </si>
  <si>
    <t>Budget gross margin %</t>
  </si>
  <si>
    <t>Benchmark: Honasa FY26 gross margin about 70%; model FY26 about 69%</t>
  </si>
  <si>
    <t>Marketplace &amp; payment fees % of revenue</t>
  </si>
  <si>
    <t>Held at FY26 level</t>
  </si>
  <si>
    <t>FY26 average fulfilment cost per order</t>
  </si>
  <si>
    <t>Derived from Historical Data</t>
  </si>
  <si>
    <t>Courier / fulfilment cost inflation for FY27</t>
  </si>
  <si>
    <t>Budget fulfilment cost per order</t>
  </si>
  <si>
    <t>Performance marketing % of revenue</t>
  </si>
  <si>
    <t>FY26 about 22.4%; efficiency gains assumed. Honasa total ad spend about 33% of revenue</t>
  </si>
  <si>
    <t>Brand &amp; influencer % of revenue</t>
  </si>
  <si>
    <t>FY26 about 10.3%</t>
  </si>
  <si>
    <t>Annual appraisal increase (effective April)</t>
  </si>
  <si>
    <t>Applied to Q4 FY26 cost per head</t>
  </si>
  <si>
    <t>Growth over FY26 monthly average – Operations warehouse &amp; other</t>
  </si>
  <si>
    <t>Semi-fixed line</t>
  </si>
  <si>
    <t>Growth over FY26 monthly average – HR other</t>
  </si>
  <si>
    <t>Growth over FY26 monthly average – IT software &amp; other</t>
  </si>
  <si>
    <t>Higher: new tools from FY26 tech hires run a full year</t>
  </si>
  <si>
    <t>Growth over FY26 monthly average – Finance prof. fees &amp; admin</t>
  </si>
  <si>
    <t>Growth over FY26 monthly average – D&amp;A</t>
  </si>
  <si>
    <t>A4. Budget average monthly cost per head (Q4 FY26 actual × (1 + appraisal))</t>
  </si>
  <si>
    <t>HR</t>
  </si>
  <si>
    <t>Finance</t>
  </si>
  <si>
    <t>A5. Line classification (drives flexed budget; documents the nature of each line)</t>
  </si>
  <si>
    <t>Cost centre</t>
  </si>
  <si>
    <t>Kind</t>
  </si>
  <si>
    <t>Flex basis</t>
  </si>
  <si>
    <t>–</t>
  </si>
  <si>
    <t>Income</t>
  </si>
  <si>
    <t>Volume-driven</t>
  </si>
  <si>
    <t>None</t>
  </si>
  <si>
    <t>Cost</t>
  </si>
  <si>
    <t>Variable</t>
  </si>
  <si>
    <t>Committed</t>
  </si>
  <si>
    <t>Orders</t>
  </si>
  <si>
    <t>Discretionary</t>
  </si>
  <si>
    <t>B. FY27 BUDGET (monthly)</t>
  </si>
  <si>
    <t>FY27 Budget</t>
  </si>
  <si>
    <t>FY26 Actual</t>
  </si>
  <si>
    <t>Growth % / Δ pp</t>
  </si>
  <si>
    <t>Notes: seasonality index, planned headcount and Part A drivers are inputs. Budget orders = FY26 orders × (1 + growth) × month index ÷ 12. Fixed lines = FY26 monthly average × (1 + growth). Personnel = planned headcount × cost per head.</t>
  </si>
  <si>
    <t>Actual vs Budget – FY27 (₹ lakh)</t>
  </si>
  <si>
    <t>Variances are signed so that POSITIVE = favourable and NEGATIVE = unfavourable on every line (costs: budget − actual; income: actual − budget).</t>
  </si>
  <si>
    <t>Months elapsed</t>
  </si>
  <si>
    <t>Apr–Sep 2026 actuals are SIMULATED (synthetic) for demonstration. Replace blue cells with real actuals when available.</t>
  </si>
  <si>
    <t>YTD</t>
  </si>
  <si>
    <t>YTD var %</t>
  </si>
  <si>
    <t>Status</t>
  </si>
  <si>
    <t>BLOCK 1 – ACTUALS (blue = input; enter monthly actuals as months close)</t>
  </si>
  <si>
    <t>BLOCK 2 – BUDGET (linked from Assumptions &amp; Budget)</t>
  </si>
  <si>
    <t>BLOCK 3 – FLEXED BUDGET (variable lines scaled to actual volume; others = budget)</t>
  </si>
  <si>
    <t>Revenue volume factor (actual ÷ budget revenue)</t>
  </si>
  <si>
    <t>Order volume factor (actual ÷ budget orders)</t>
  </si>
  <si>
    <t>BLOCK 4 – VARIANCE vs STATIC BUDGET (₹ lakh; + favourable / − unfavourable)</t>
  </si>
  <si>
    <t>BLOCK 5 – VARIANCE vs FLEXED BUDGET (₹ lakh; isolates rate / efficiency from volume)</t>
  </si>
  <si>
    <t>BLOCK 6 – NET REVENUE VARIANCE: VOLUME vs PRICE (₹ lakh; + favourable)</t>
  </si>
  <si>
    <t>Volume effect  (Δ orders × budget AOV)</t>
  </si>
  <si>
    <t>Price / mix effect  (Δ AOV × actual orders)</t>
  </si>
  <si>
    <t>Total revenue variance</t>
  </si>
  <si>
    <t>Check vs Block 4 (should be zero)</t>
  </si>
  <si>
    <t>Every material variance is classified (Timing / One-off / Structural) and mapped to an action. Variances are measured against the FLEXED budget.</t>
  </si>
  <si>
    <t>Materiality: ≥</t>
  </si>
  <si>
    <t>and ≥ ₹ lakh</t>
  </si>
  <si>
    <t>Look-back (months)</t>
  </si>
  <si>
    <t>Rules: Timing → Ignore (reversal built into forecast) · One-off → Ignore (excluded from run-rate) · Structural → Reforecast by default. Analyst may override with a documented reason (e.g. Cut spend). Blue cells in columns O, P, R, S are analyst inputs.</t>
  </si>
  <si>
    <t>YTD budget</t>
  </si>
  <si>
    <t>YTD actual</t>
  </si>
  <si>
    <t>YTD flexed budget</t>
  </si>
  <si>
    <t>YTD var vs flexed</t>
  </si>
  <si>
    <t>Look-back flexed budget</t>
  </si>
  <si>
    <t>Look-back actual</t>
  </si>
  <si>
    <t>Look-back var</t>
  </si>
  <si>
    <t>Look-back var %</t>
  </si>
  <si>
    <t>Trigger</t>
  </si>
  <si>
    <t>Fav / Unfav</t>
  </si>
  <si>
    <t>Cause (analyst)</t>
  </si>
  <si>
    <t>Evidence / rationale</t>
  </si>
  <si>
    <t>Suggested action</t>
  </si>
  <si>
    <t>Analyst override</t>
  </si>
  <si>
    <t>Override reason</t>
  </si>
  <si>
    <t>FINAL ACTION</t>
  </si>
  <si>
    <t>Run-rate adj %</t>
  </si>
  <si>
    <t>Forecast adj % applied</t>
  </si>
  <si>
    <t>Timing reversal (₹ lakh)</t>
  </si>
  <si>
    <t>Trigger variance (₹ lakh)</t>
  </si>
  <si>
    <t>Gross margin up from Jul: supplier price renegotiation and lower inbound freight; contract runs multi-year.</t>
  </si>
  <si>
    <t>5 unplanned sales hires since Apr for marketplace / quick-commerce accounts; permanent run-rate cost.</t>
  </si>
  <si>
    <t>Marketplace commission and platform-fee revision (~0.4 pp of sales) effective Jul.</t>
  </si>
  <si>
    <t>Courier rate-card revision from Jun (+9% per order) plus higher RTO share.</t>
  </si>
  <si>
    <t>Jul: expired-inventory write-off and warehouse re-racking; non-recurring.</t>
  </si>
  <si>
    <t>Sep: Diwali campaign spend pulled forward to lock in CPMs and inventory; reverses Oct–Nov.</t>
  </si>
  <si>
    <t>Creator / influencer retainers stepped up from Jun beyond approved plan.</t>
  </si>
  <si>
    <t>Cut spend</t>
  </si>
  <si>
    <t>Discretionary line: brand lead agreed to cap retainers from Nov and recover ~half of the overspend.</t>
  </si>
  <si>
    <t>Jun: cybersecurity audit and data-migration project; non-recurring.</t>
  </si>
  <si>
    <t>Log summary</t>
  </si>
  <si>
    <t>Lines tested</t>
  </si>
  <si>
    <t>Material variances</t>
  </si>
  <si>
    <t xml:space="preserve">  of which Timing</t>
  </si>
  <si>
    <t xml:space="preserve">  of which One-off</t>
  </si>
  <si>
    <t xml:space="preserve">  of which Structural</t>
  </si>
  <si>
    <t>Awaiting classification</t>
  </si>
  <si>
    <t>Final action: Reforecast</t>
  </si>
  <si>
    <t>Final action: Cut spend</t>
  </si>
  <si>
    <t>Final action: Ignore</t>
  </si>
  <si>
    <t>Analyst overrides in use</t>
  </si>
  <si>
    <t>Overrides missing a reason</t>
  </si>
  <si>
    <t>Revenue-driver run-rate (look-back window; used in Rolling Forecast when revenue action = Reforecast)</t>
  </si>
  <si>
    <t>Orders: actual vs budget over look-back</t>
  </si>
  <si>
    <t>Net AOV: actual vs budget over look-back</t>
  </si>
  <si>
    <t>Rolling Forecast – FY27 (₹ lakh)</t>
  </si>
  <si>
    <t>Closed months = actuals. Open months = budget × volume factor × (1 + run-rate adjustment from the Variance-to-Action Log) ± timing reversal.</t>
  </si>
  <si>
    <t>Reversal months</t>
  </si>
  <si>
    <t>FY27 Rolling Fcst</t>
  </si>
  <si>
    <t>Var ₹ / Δ pp (fav +)</t>
  </si>
  <si>
    <t>Var %</t>
  </si>
  <si>
    <t>Forecast month number</t>
  </si>
  <si>
    <t>Summary – FY27 Budget, YTD Performance and Outlook</t>
  </si>
  <si>
    <t>All figures link to the model sheets (₹ lakh unless stated).</t>
  </si>
  <si>
    <t>1. Year-to-date performance vs budget</t>
  </si>
  <si>
    <t>Variance (fav +)</t>
  </si>
  <si>
    <t>Variance %</t>
  </si>
  <si>
    <t>EBITDA margin</t>
  </si>
  <si>
    <t>Revenue variance: volume effect</t>
  </si>
  <si>
    <t>Revenue variance: price / mix effect</t>
  </si>
  <si>
    <t>2. FY27 outlook – rolling forecast vs budget</t>
  </si>
  <si>
    <t>Net revenue (₹ crore)</t>
  </si>
  <si>
    <t>3. Variance-to-action log</t>
  </si>
  <si>
    <t>4. Five largest adverse variances (trigger variance vs flexed budget)</t>
  </si>
  <si>
    <t>Variance ₹ lakh</t>
  </si>
  <si>
    <t>5. Model integrity checks</t>
  </si>
  <si>
    <t>Revenue variance decomposition ties to Block 4</t>
  </si>
  <si>
    <t>All material variances classified</t>
  </si>
  <si>
    <t>All overrides carry a reason</t>
  </si>
  <si>
    <t>FY26 model EBITDA margin within 9–11% (benchmark corridor)</t>
  </si>
  <si>
    <t>6. Key takeaways (static commentary written at the Sep-26 close; refresh if inputs change)</t>
  </si>
  <si>
    <t>YTD EBITDA is about ₹413 lakh (18%) below budget even though revenue is 0.9% ahead: a ₹722 lakh operating-cost overrun outweighs a ₹309 lakh gross-profit gain.</t>
  </si>
  <si>
    <t>Revenue: higher order volume (+₹351 lakh) is partly offset by lower AOV (−₹158 lakh), consistent with heavier discounting.</t>
  </si>
  <si>
    <t>Eight material variances: five Structural (gross margin favourable; sales headcount, marketplace fees, fulfilment and brand spend unfavourable) are re-based in the forecast; two One-offs (IT, Operations) are excluded; the September performance-marketing pull-forward is Timing and reverses in Oct–Nov.</t>
  </si>
  <si>
    <t>Analyst override in use: brand &amp; influencer is set to Cut spend with a documented reason; the forecast assumes half of the run-rate overspend is recovered.</t>
  </si>
  <si>
    <t>FY27 outlook: rolling-forecast EBITDA margin is about 11.3% against 11.8% in the budget (about ₹234 lakh lower EBITDA).</t>
  </si>
  <si>
    <t>Model Notes – method, benchmark and limitations</t>
  </si>
  <si>
    <t>1. Purpose</t>
  </si>
  <si>
    <t>FP&amp;A portfolio project: build a driver-based budget for a fictional Indian D2C company, compare actuals to a flexed budget, classify every material variance as Timing, One-off or Structural, attach an action (Reforecast, Cut spend, Ignore) and roll the forecast forward.</t>
  </si>
  <si>
    <t>2. The company is fictional</t>
  </si>
  <si>
    <t>Revenue is about ₹400 crore in FY26. All history and the Apr–Sep 2026 actuals are SYNTHETIC. Ratios are benchmarked to public annual-report data; no real company financials are represented.</t>
  </si>
  <si>
    <t>3. Benchmark: Honasa Consumer, FY26 (Mamaearth, The Derma Co, Dr. Sheth's)</t>
  </si>
  <si>
    <t>Chosen because it is a D2C-born listed brand with line-item disclosure of advertising, employee cost and D&amp;A. Ratios below were checked against the audited consolidated FY26 results filed with NSE on 21 May 2026 (revenue ₹2,392 cr; advertisement ₹788 cr; employee cost ₹263 cr; freight &amp; forwarding ₹182 cr; D&amp;A ₹44 cr; cost of goods ₹714 cr). EBITDA = profit before exceptional items and tax + finance costs + D&amp;A − other income.</t>
  </si>
  <si>
    <t>4. Benchmark vs model (FY26)</t>
  </si>
  <si>
    <t>Ratio</t>
  </si>
  <si>
    <t>Honasa FY26 (computed)</t>
  </si>
  <si>
    <t>Model FY26</t>
  </si>
  <si>
    <t>Model FY25</t>
  </si>
  <si>
    <t>Gross margin</t>
  </si>
  <si>
    <t>Advertising / marketing % of revenue</t>
  </si>
  <si>
    <t>Freight / fulfilment % of revenue</t>
  </si>
  <si>
    <t>D&amp;A % of revenue</t>
  </si>
  <si>
    <t>5. How the model works</t>
  </si>
  <si>
    <t>Budget: orders = FY26 orders × (1 + growth) × seasonality; AOV grows monthly from the Mar-26 level; COGS, fees and marketing are % of revenue; fulfilment is cost per order; personnel = planned headcount × cost per head (Q4 FY26 level + appraisal); other lines = FY26 monthly average × (1 + growth).</t>
  </si>
  <si>
    <t>Flexed budget: variable lines (COGS, marketplace fees, fulfilment) are scaled to actual revenue or orders so that volume does not masquerade as cost inefficiency. Discretionary marketing is NOT flexed, so overspend is visible.</t>
  </si>
  <si>
    <t>Sign convention: every variance is signed so that positive = favourable and negative = unfavourable (costs: budget − actual; income: actual − budget).</t>
  </si>
  <si>
    <t>6. Variance-to-action method</t>
  </si>
  <si>
    <t>Materiality: a line is flagged if the YTD variance OR the look-back (run-rate) variance breaches BOTH the % and the ₹ threshold (Assumptions &amp; Budget). The run-rate test catches issues that began recently.</t>
  </si>
  <si>
    <t>Classification (analyst input): Timing = reverses within the year; One-off = non-recurring, excluded from run-rate; Structural = changes the run-rate.</t>
  </si>
  <si>
    <t>Default action: Timing → Ignore (reversal is built into the forecast); One-off → Ignore; Structural → Reforecast. The analyst may override, but a documented reason is required (the FINAL ACTION column flags a missing reason).</t>
  </si>
  <si>
    <t>7. Rolling forecast mechanics</t>
  </si>
  <si>
    <t>Closed months use actuals. Open months = budget × volume factor × (1 + adjustment). Reforecast applies the look-back variance % to the line; Cut spend applies it net of the recovery % assumption; Timing variances reverse evenly over the reversal period. One-offs do not carry forward.</t>
  </si>
  <si>
    <t>8. Monthly update routine</t>
  </si>
  <si>
    <t>(1) Enter the month's actuals in Block 1 of Actual vs Budget. (2) Move "Actuals loaded through" in Assumptions &amp; Budget. (3) Review the Variance-to-Action Log: classify new material lines, set overrides with reasons. (4) Read Summary and Rolling Forecast.</t>
  </si>
  <si>
    <t>9. Built-in history events and simulated actuals</t>
  </si>
  <si>
    <t>History includes planted timing, one-off and structural events (listed on Historical Data). The Apr–Sep 2026 actuals are simulated: marketplace fees, fulfilment cost, sales headcount, brand spend and gross margin move structurally; one-offs hit IT and Operations; a festive campaign is pulled into September.</t>
  </si>
  <si>
    <t>10. Scope exclusions</t>
  </si>
  <si>
    <t>Not included by design: scenario analysis, LBO/DCF, AI-generated forecasts, Power BI, large KPI sets and macros. One compact Executive Dashboard (four charts) is included. No balance sheet or cash flow: this is a P&amp;L-level FP&amp;A model.</t>
  </si>
  <si>
    <t>11. Known limitations</t>
  </si>
  <si>
    <t>Revenue timing is not reversed in the forecast. Headcount and metrics are not forecast. Seasonality is a single index shared across years. Cost-per-head is blended by cost centre. Synthetic data cannot validate real-world calibration.</t>
  </si>
  <si>
    <t>Benchmarking approach: Honasa Consumer was used as a reference point for financial ratios and cost-structure assumptions, not as a directly comparable business. Given Honasa's significantly larger scale, multi-brand portfolio, and broader offline distribution mix, the model assumes somewhat higher marketing intensity for a hypothetical ₹400 crore, single-brand D2C business. This adjustment is an illustrative modelling assumption, not a verified industry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</si>
</sst>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mmm\-yy"/>
    <numFmt numFmtId="167" formatCode="#,##0.0;[Red]\(#,##0.0\);\-"/>
    <numFmt numFmtId="168" formatCode="#,##0.0;\(#,##0.0\);\-"/>
    <numFmt numFmtId="169" formatCode="0.000"/>
    <numFmt numFmtId="170" formatCode="#,##0;\(#,##0\);\-"/>
    <numFmt numFmtId="171" formatCode="0.0%;[Red]\(0.0%\);\-"/>
    <numFmt numFmtId="172" formatCode="0.0\x"/>
  </numFmts>
  <fonts count="15" x14ac:knownFonts="1">
    <font>
      <sz val="11"/>
      <color theme="1"/>
      <name val="Calibri"/>
      <family val="2"/>
      <charset val="1"/>
    </font>
    <font>
      <b/>
      <sz val="20"/>
      <color rgb="FF000000"/>
      <name val="Arial"/>
      <family val="2"/>
    </font>
    <font>
      <i/>
      <sz val="12"/>
      <color rgb="FF000000"/>
      <name val="Arial"/>
      <family val="2"/>
    </font>
    <font>
      <sz val="10"/>
      <color rgb="FF000000"/>
      <name val="Arial"/>
      <family val="2"/>
    </font>
    <font>
      <i/>
      <sz val="10"/>
      <color rgb="FF000000"/>
      <name val="Arial"/>
      <family val="2"/>
    </font>
    <font>
      <b/>
      <sz val="10"/>
      <color rgb="FF000000"/>
      <name val="Arial"/>
      <family val="2"/>
    </font>
    <font>
      <sz val="10"/>
      <color rgb="FF008000"/>
      <name val="Arial"/>
      <family val="2"/>
    </font>
    <font>
      <sz val="10"/>
      <color rgb="FF0000FF"/>
      <name val="Arial"/>
      <family val="2"/>
    </font>
    <font>
      <b/>
      <sz val="16"/>
      <color rgb="FF000000"/>
      <name val="Arial"/>
      <family val="2"/>
    </font>
    <font>
      <sz val="9"/>
      <color rgb="FF595959"/>
      <name val="Arial"/>
      <family val="2"/>
    </font>
    <font>
      <b/>
      <sz val="18"/>
      <color rgb="FF1F3864"/>
      <name val="Arial"/>
      <family val="2"/>
    </font>
    <font>
      <b/>
      <sz val="10"/>
      <color rgb="FFFFFFFF"/>
      <name val="Arial"/>
      <family val="2"/>
    </font>
    <font>
      <b/>
      <sz val="14"/>
      <color rgb="FF000000"/>
      <name val="Arial"/>
      <family val="2"/>
    </font>
    <font>
      <b/>
      <sz val="12"/>
      <color rgb="FF000000"/>
      <name val="Arial"/>
      <family val="2"/>
    </font>
    <font>
      <b/>
      <sz val="10"/>
      <color rgb="FF008000"/>
      <name val="Arial"/>
      <family val="2"/>
    </font>
  </fonts>
  <fills count="6">
    <fill>
      <patternFill patternType="none"/>
    </fill>
    <fill>
      <patternFill patternType="gray125"/>
    </fill>
    <fill>
      <patternFill patternType="solid">
        <fgColor rgb="FFD9E1F2"/>
        <bgColor rgb="FFD9D9D9"/>
      </patternFill>
    </fill>
    <fill>
      <patternFill patternType="solid">
        <fgColor rgb="FFFFFF00"/>
        <bgColor rgb="FFFFFF00"/>
      </patternFill>
    </fill>
    <fill>
      <patternFill patternType="solid">
        <fgColor rgb="FF1F3864"/>
        <bgColor rgb="FF333333"/>
      </patternFill>
    </fill>
    <fill>
      <patternFill patternType="solid">
        <fgColor rgb="FFF2F2F2"/>
        <bgColor rgb="FFFFFFFF"/>
      </patternFill>
    </fill>
  </fills>
  <borders count="1">
    <border>
      <left/>
      <right/>
      <top/>
      <bottom/>
      <diagonal/>
    </border>
  </borders>
  <cellStyleXfs count="1">
    <xf numFmtId="0" fontId="0" fillId="0" borderId="0"/>
  </cellStyleXfs>
  <cellXfs count="69">
    <xf numFmtId="0" fontId="0" fillId="0" borderId="0" xfId="0"/>
    <xf numFmtId="164" fontId="10" fillId="2" borderId="0" xfId="0" applyNumberFormat="1" applyFont="1" applyFill="1" applyAlignment="1">
      <alignment horizontal="center"/>
    </xf>
    <xf numFmtId="0" fontId="9" fillId="2" borderId="0" xfId="0" applyFont="1" applyFill="1" applyAlignment="1">
      <alignment horizontal="center"/>
    </xf>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0" fillId="2" borderId="0" xfId="0" applyFill="1"/>
    <xf numFmtId="164" fontId="3" fillId="0" borderId="0" xfId="0" applyNumberFormat="1" applyFont="1"/>
    <xf numFmtId="165" fontId="6" fillId="0" borderId="0" xfId="0" applyNumberFormat="1" applyFont="1"/>
    <xf numFmtId="166" fontId="6" fillId="0" borderId="0" xfId="0" applyNumberFormat="1" applyFont="1"/>
    <xf numFmtId="0" fontId="5" fillId="0" borderId="0" xfId="0" applyFont="1"/>
    <xf numFmtId="0" fontId="7" fillId="0" borderId="0" xfId="0" applyFont="1"/>
    <xf numFmtId="0" fontId="6" fillId="0" borderId="0" xfId="0" applyFont="1"/>
    <xf numFmtId="0" fontId="3" fillId="3" borderId="0" xfId="0" applyFont="1" applyFill="1"/>
    <xf numFmtId="0" fontId="8" fillId="0" borderId="0" xfId="0" applyFont="1"/>
    <xf numFmtId="0" fontId="11" fillId="4" borderId="0" xfId="0" applyFont="1" applyFill="1" applyAlignment="1">
      <alignment horizontal="center" vertical="center" wrapText="1"/>
    </xf>
    <xf numFmtId="167" fontId="6" fillId="0" borderId="0" xfId="0" applyNumberFormat="1" applyFont="1"/>
    <xf numFmtId="168" fontId="3" fillId="0" borderId="0" xfId="0" applyNumberFormat="1" applyFont="1"/>
    <xf numFmtId="167" fontId="3" fillId="0" borderId="0" xfId="0" applyNumberFormat="1" applyFont="1"/>
    <xf numFmtId="169" fontId="3" fillId="0" borderId="0" xfId="0" applyNumberFormat="1" applyFont="1"/>
    <xf numFmtId="166" fontId="6" fillId="0" borderId="0" xfId="0" applyNumberFormat="1" applyFont="1" applyAlignment="1">
      <alignment horizontal="left"/>
    </xf>
    <xf numFmtId="0" fontId="12" fillId="0" borderId="0" xfId="0" applyFont="1"/>
    <xf numFmtId="166" fontId="11" fillId="4" borderId="0" xfId="0" applyNumberFormat="1" applyFont="1" applyFill="1" applyAlignment="1">
      <alignment horizontal="center" vertical="center" wrapText="1"/>
    </xf>
    <xf numFmtId="0" fontId="3" fillId="0" borderId="0" xfId="0" applyFont="1" applyAlignment="1">
      <alignment horizontal="center"/>
    </xf>
    <xf numFmtId="2" fontId="7" fillId="0" borderId="0" xfId="0" applyNumberFormat="1" applyFont="1"/>
    <xf numFmtId="2" fontId="3" fillId="0" borderId="0" xfId="0" applyNumberFormat="1" applyFont="1"/>
    <xf numFmtId="170" fontId="7" fillId="0" borderId="0" xfId="0" applyNumberFormat="1" applyFont="1"/>
    <xf numFmtId="170" fontId="3" fillId="0" borderId="0" xfId="0" applyNumberFormat="1" applyFont="1"/>
    <xf numFmtId="171" fontId="3" fillId="0" borderId="0" xfId="0" applyNumberFormat="1" applyFont="1"/>
    <xf numFmtId="164" fontId="7" fillId="0" borderId="0" xfId="0" applyNumberFormat="1" applyFont="1"/>
    <xf numFmtId="0" fontId="5" fillId="5" borderId="0" xfId="0" applyFont="1" applyFill="1"/>
    <xf numFmtId="0" fontId="4" fillId="5" borderId="0" xfId="0" applyFont="1" applyFill="1"/>
    <xf numFmtId="168" fontId="5" fillId="5" borderId="0" xfId="0" applyNumberFormat="1" applyFont="1" applyFill="1"/>
    <xf numFmtId="171" fontId="3" fillId="5" borderId="0" xfId="0" applyNumberFormat="1" applyFont="1" applyFill="1"/>
    <xf numFmtId="168" fontId="7" fillId="0" borderId="0" xfId="0" applyNumberFormat="1" applyFont="1"/>
    <xf numFmtId="165" fontId="3" fillId="0" borderId="0" xfId="0" applyNumberFormat="1" applyFont="1"/>
    <xf numFmtId="170" fontId="5" fillId="5" borderId="0" xfId="0" applyNumberFormat="1" applyFont="1" applyFill="1"/>
    <xf numFmtId="172" fontId="3" fillId="0" borderId="0" xfId="0" applyNumberFormat="1" applyFont="1"/>
    <xf numFmtId="166" fontId="3" fillId="0" borderId="0" xfId="0" applyNumberFormat="1" applyFont="1" applyAlignment="1">
      <alignment horizontal="left"/>
    </xf>
    <xf numFmtId="166" fontId="7" fillId="3" borderId="0" xfId="0" applyNumberFormat="1" applyFont="1" applyFill="1"/>
    <xf numFmtId="1" fontId="3" fillId="0" borderId="0" xfId="0" applyNumberFormat="1" applyFont="1"/>
    <xf numFmtId="165" fontId="7" fillId="3" borderId="0" xfId="0" applyNumberFormat="1" applyFont="1" applyFill="1"/>
    <xf numFmtId="168" fontId="7" fillId="3" borderId="0" xfId="0" applyNumberFormat="1" applyFont="1" applyFill="1"/>
    <xf numFmtId="1" fontId="7" fillId="3" borderId="0" xfId="0" applyNumberFormat="1" applyFont="1" applyFill="1"/>
    <xf numFmtId="10" fontId="7" fillId="3" borderId="0" xfId="0" applyNumberFormat="1" applyFont="1" applyFill="1"/>
    <xf numFmtId="0" fontId="13" fillId="0" borderId="0" xfId="0" applyFont="1"/>
    <xf numFmtId="170" fontId="6" fillId="0" borderId="0" xfId="0" applyNumberFormat="1" applyFont="1"/>
    <xf numFmtId="164" fontId="6" fillId="0" borderId="0" xfId="0" applyNumberFormat="1" applyFont="1"/>
    <xf numFmtId="168" fontId="14" fillId="5" borderId="0" xfId="0" applyNumberFormat="1" applyFont="1" applyFill="1"/>
    <xf numFmtId="168" fontId="6" fillId="0" borderId="0" xfId="0" applyNumberFormat="1" applyFont="1"/>
    <xf numFmtId="170" fontId="14" fillId="5" borderId="0" xfId="0" applyNumberFormat="1" applyFont="1" applyFill="1"/>
    <xf numFmtId="172" fontId="6" fillId="0" borderId="0" xfId="0" applyNumberFormat="1" applyFont="1"/>
    <xf numFmtId="2" fontId="6" fillId="0" borderId="0" xfId="0" applyNumberFormat="1" applyFont="1"/>
    <xf numFmtId="1" fontId="6" fillId="0" borderId="0" xfId="0" applyNumberFormat="1" applyFont="1"/>
    <xf numFmtId="0" fontId="0" fillId="5" borderId="0" xfId="0" applyFill="1"/>
    <xf numFmtId="167" fontId="5" fillId="5" borderId="0" xfId="0" applyNumberFormat="1" applyFont="1" applyFill="1"/>
    <xf numFmtId="167" fontId="5" fillId="0" borderId="0" xfId="0" applyNumberFormat="1" applyFont="1"/>
    <xf numFmtId="171" fontId="6" fillId="0" borderId="0" xfId="0" applyNumberFormat="1" applyFont="1"/>
    <xf numFmtId="0" fontId="5" fillId="0" borderId="0" xfId="0" applyFont="1" applyAlignment="1">
      <alignment horizontal="center"/>
    </xf>
    <xf numFmtId="1" fontId="3" fillId="0" borderId="0" xfId="0" applyNumberFormat="1" applyFont="1" applyAlignment="1">
      <alignment horizontal="center"/>
    </xf>
    <xf numFmtId="165" fontId="7" fillId="0" borderId="0" xfId="0" applyNumberFormat="1" applyFont="1"/>
    <xf numFmtId="0" fontId="3" fillId="0" borderId="0" xfId="0" applyFont="1" applyAlignment="1">
      <alignment vertical="top" wrapText="1"/>
    </xf>
    <xf numFmtId="164" fontId="10" fillId="2" borderId="0" xfId="0" applyNumberFormat="1" applyFont="1" applyFill="1" applyAlignment="1">
      <alignment horizontal="center"/>
    </xf>
    <xf numFmtId="167" fontId="10" fillId="2" borderId="0" xfId="0" applyNumberFormat="1" applyFont="1" applyFill="1" applyAlignment="1">
      <alignment horizontal="center"/>
    </xf>
    <xf numFmtId="165" fontId="10" fillId="2" borderId="0" xfId="0" applyNumberFormat="1" applyFont="1" applyFill="1" applyAlignment="1">
      <alignment horizontal="center"/>
    </xf>
    <xf numFmtId="1" fontId="10" fillId="2" borderId="0" xfId="0" applyNumberFormat="1" applyFont="1" applyFill="1" applyAlignment="1">
      <alignment horizontal="center"/>
    </xf>
    <xf numFmtId="0" fontId="9" fillId="2" borderId="0" xfId="0" applyFont="1" applyFill="1" applyAlignment="1">
      <alignment horizontal="center"/>
    </xf>
  </cellXfs>
  <cellStyles count="1">
    <cellStyle name="Normal" xfId="0" builtinId="0"/>
  </cellStyles>
  <dxfs count="1">
    <dxf>
      <fill>
        <patternFill>
          <bgColor rgb="FFFFE69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595959"/>
      <rgbColor rgb="FF878787"/>
      <rgbColor rgb="FF1F3864"/>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YTD EBITDA: budget to actual (₹ lakh)</a:t>
            </a:r>
          </a:p>
        </c:rich>
      </c:tx>
      <c:overlay val="0"/>
      <c:spPr>
        <a:noFill/>
        <a:ln w="0">
          <a:noFill/>
        </a:ln>
      </c:spPr>
    </c:title>
    <c:autoTitleDeleted val="0"/>
    <c:plotArea>
      <c:layout/>
      <c:barChart>
        <c:barDir val="col"/>
        <c:grouping val="stacked"/>
        <c:varyColors val="0"/>
        <c:ser>
          <c:idx val="0"/>
          <c:order val="0"/>
          <c:tx>
            <c:v>Base (hidden)</c:v>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Dashboard'!$D$51:$D$59</c:f>
              <c:numCache>
                <c:formatCode>#,##0.0;\(#,##0.0\);\-</c:formatCode>
                <c:ptCount val="9"/>
                <c:pt idx="0">
                  <c:v>0</c:v>
                </c:pt>
                <c:pt idx="1">
                  <c:v>2299.0598051473071</c:v>
                </c:pt>
                <c:pt idx="2">
                  <c:v>2492.2452417858176</c:v>
                </c:pt>
                <c:pt idx="3">
                  <c:v>2524.183880153083</c:v>
                </c:pt>
                <c:pt idx="4">
                  <c:v>2331.0114650393243</c:v>
                </c:pt>
                <c:pt idx="5">
                  <c:v>1964.9996008387091</c:v>
                </c:pt>
                <c:pt idx="6">
                  <c:v>1882.1722459999994</c:v>
                </c:pt>
                <c:pt idx="7">
                  <c:v>1882.1722459999994</c:v>
                </c:pt>
                <c:pt idx="8">
                  <c:v>0</c:v>
                </c:pt>
              </c:numCache>
            </c:numRef>
          </c:val>
          <c:extLst>
            <c:ext xmlns:c16="http://schemas.microsoft.com/office/drawing/2014/chart" uri="{C3380CC4-5D6E-409C-BE32-E72D297353CC}">
              <c16:uniqueId val="{00000000-173B-4A9B-9014-2E05C71734EB}"/>
            </c:ext>
          </c:extLst>
        </c:ser>
        <c:ser>
          <c:idx val="1"/>
          <c:order val="1"/>
          <c:tx>
            <c:v>Increase</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Dashboard'!$E$51:$E$59</c:f>
              <c:numCache>
                <c:formatCode>#,##0.0;\(#,##0.0\);\-</c:formatCode>
                <c:ptCount val="9"/>
                <c:pt idx="0">
                  <c:v>0</c:v>
                </c:pt>
                <c:pt idx="1">
                  <c:v>193.18543663851051</c:v>
                </c:pt>
                <c:pt idx="2">
                  <c:v>115.68833590206282</c:v>
                </c:pt>
                <c:pt idx="3">
                  <c:v>0</c:v>
                </c:pt>
                <c:pt idx="4">
                  <c:v>0</c:v>
                </c:pt>
                <c:pt idx="5">
                  <c:v>0</c:v>
                </c:pt>
                <c:pt idx="6">
                  <c:v>0</c:v>
                </c:pt>
                <c:pt idx="7">
                  <c:v>3.7175000000000544</c:v>
                </c:pt>
                <c:pt idx="8">
                  <c:v>0</c:v>
                </c:pt>
              </c:numCache>
            </c:numRef>
          </c:val>
          <c:extLst>
            <c:ext xmlns:c16="http://schemas.microsoft.com/office/drawing/2014/chart" uri="{C3380CC4-5D6E-409C-BE32-E72D297353CC}">
              <c16:uniqueId val="{00000001-173B-4A9B-9014-2E05C71734EB}"/>
            </c:ext>
          </c:extLst>
        </c:ser>
        <c:ser>
          <c:idx val="2"/>
          <c:order val="2"/>
          <c:tx>
            <c:v>Decrease</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Dashboard'!$F$51:$F$59</c:f>
              <c:numCache>
                <c:formatCode>#,##0.0;\(#,##0.0\);\-</c:formatCode>
                <c:ptCount val="9"/>
                <c:pt idx="0">
                  <c:v>0</c:v>
                </c:pt>
                <c:pt idx="1">
                  <c:v>0</c:v>
                </c:pt>
                <c:pt idx="2">
                  <c:v>0</c:v>
                </c:pt>
                <c:pt idx="3">
                  <c:v>83.74969753479769</c:v>
                </c:pt>
                <c:pt idx="4">
                  <c:v>193.17241511375852</c:v>
                </c:pt>
                <c:pt idx="5">
                  <c:v>366.01186420061526</c:v>
                </c:pt>
                <c:pt idx="6">
                  <c:v>82.827354838709624</c:v>
                </c:pt>
                <c:pt idx="7">
                  <c:v>0</c:v>
                </c:pt>
                <c:pt idx="8">
                  <c:v>0</c:v>
                </c:pt>
              </c:numCache>
            </c:numRef>
          </c:val>
          <c:extLst>
            <c:ext xmlns:c16="http://schemas.microsoft.com/office/drawing/2014/chart" uri="{C3380CC4-5D6E-409C-BE32-E72D297353CC}">
              <c16:uniqueId val="{00000002-173B-4A9B-9014-2E05C71734EB}"/>
            </c:ext>
          </c:extLst>
        </c:ser>
        <c:ser>
          <c:idx val="3"/>
          <c:order val="3"/>
          <c:tx>
            <c:v>Total</c:v>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Dashboard'!$A$51:$A$59</c:f>
              <c:strCache>
                <c:ptCount val="9"/>
                <c:pt idx="0">
                  <c:v>Budget</c:v>
                </c:pt>
                <c:pt idx="1">
                  <c:v>Revenue</c:v>
                </c:pt>
                <c:pt idx="2">
                  <c:v>COGS</c:v>
                </c:pt>
                <c:pt idx="3">
                  <c:v>Sales</c:v>
                </c:pt>
                <c:pt idx="4">
                  <c:v>Operations</c:v>
                </c:pt>
                <c:pt idx="5">
                  <c:v>Marketing</c:v>
                </c:pt>
                <c:pt idx="6">
                  <c:v>IT</c:v>
                </c:pt>
                <c:pt idx="7">
                  <c:v>HR + Finance</c:v>
                </c:pt>
                <c:pt idx="8">
                  <c:v>Actual</c:v>
                </c:pt>
              </c:strCache>
            </c:strRef>
          </c:cat>
          <c:val>
            <c:numRef>
              <c:f>'Executive Dashboard'!$G$51:$G$59</c:f>
              <c:numCache>
                <c:formatCode>#,##0.0;\(#,##0.0\);\-</c:formatCode>
                <c:ptCount val="9"/>
                <c:pt idx="0">
                  <c:v>2299.0598051473071</c:v>
                </c:pt>
                <c:pt idx="1">
                  <c:v>0</c:v>
                </c:pt>
                <c:pt idx="2">
                  <c:v>0</c:v>
                </c:pt>
                <c:pt idx="3">
                  <c:v>0</c:v>
                </c:pt>
                <c:pt idx="4">
                  <c:v>0</c:v>
                </c:pt>
                <c:pt idx="5">
                  <c:v>0</c:v>
                </c:pt>
                <c:pt idx="6">
                  <c:v>0</c:v>
                </c:pt>
                <c:pt idx="7">
                  <c:v>0</c:v>
                </c:pt>
                <c:pt idx="8">
                  <c:v>1885.8897460000007</c:v>
                </c:pt>
              </c:numCache>
            </c:numRef>
          </c:val>
          <c:extLst>
            <c:ext xmlns:c16="http://schemas.microsoft.com/office/drawing/2014/chart" uri="{C3380CC4-5D6E-409C-BE32-E72D297353CC}">
              <c16:uniqueId val="{00000003-173B-4A9B-9014-2E05C71734EB}"/>
            </c:ext>
          </c:extLst>
        </c:ser>
        <c:dLbls>
          <c:showLegendKey val="0"/>
          <c:showVal val="0"/>
          <c:showCatName val="0"/>
          <c:showSerName val="0"/>
          <c:showPercent val="0"/>
          <c:showBubbleSize val="0"/>
        </c:dLbls>
        <c:gapWidth val="50"/>
        <c:overlap val="100"/>
        <c:axId val="11712199"/>
        <c:axId val="78351667"/>
      </c:barChart>
      <c:catAx>
        <c:axId val="117121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351667"/>
        <c:crosses val="autoZero"/>
        <c:auto val="1"/>
        <c:lblAlgn val="ctr"/>
        <c:lblOffset val="100"/>
        <c:noMultiLvlLbl val="0"/>
      </c:catAx>
      <c:valAx>
        <c:axId val="78351667"/>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lakh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7121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FY27 EBITDA: forecast vs budget walk (₹ lakh)</a:t>
            </a:r>
          </a:p>
        </c:rich>
      </c:tx>
      <c:overlay val="0"/>
      <c:spPr>
        <a:noFill/>
        <a:ln w="0">
          <a:noFill/>
        </a:ln>
      </c:spPr>
    </c:title>
    <c:autoTitleDeleted val="0"/>
    <c:plotArea>
      <c:layout/>
      <c:barChart>
        <c:barDir val="col"/>
        <c:grouping val="clustered"/>
        <c:varyColors val="0"/>
        <c:ser>
          <c:idx val="0"/>
          <c:order val="0"/>
          <c:tx>
            <c:v>Adverse</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Dashboard'!$C$90:$C$95</c:f>
              <c:numCache>
                <c:formatCode>#,##0.0;[Red]\(#,##0.0\);\-</c:formatCode>
                <c:ptCount val="6"/>
                <c:pt idx="0">
                  <c:v>-413.17005914730726</c:v>
                </c:pt>
                <c:pt idx="1">
                  <c:v>0</c:v>
                </c:pt>
                <c:pt idx="2">
                  <c:v>-154.30556870707505</c:v>
                </c:pt>
                <c:pt idx="3">
                  <c:v>0</c:v>
                </c:pt>
                <c:pt idx="4">
                  <c:v>0</c:v>
                </c:pt>
                <c:pt idx="5">
                  <c:v>0</c:v>
                </c:pt>
              </c:numCache>
            </c:numRef>
          </c:val>
          <c:extLst>
            <c:ext xmlns:c16="http://schemas.microsoft.com/office/drawing/2014/chart" uri="{C3380CC4-5D6E-409C-BE32-E72D297353CC}">
              <c16:uniqueId val="{00000000-5DAF-428C-BD16-C8EC9D7F80B1}"/>
            </c:ext>
          </c:extLst>
        </c:ser>
        <c:ser>
          <c:idx val="1"/>
          <c:order val="1"/>
          <c:tx>
            <c:v>Favourable</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Dashboard'!$D$90:$D$95</c:f>
              <c:numCache>
                <c:formatCode>#,##0.0;[Red]\(#,##0.0\);\-</c:formatCode>
                <c:ptCount val="6"/>
                <c:pt idx="0">
                  <c:v>0</c:v>
                </c:pt>
                <c:pt idx="1">
                  <c:v>161.96703347240401</c:v>
                </c:pt>
                <c:pt idx="2">
                  <c:v>0</c:v>
                </c:pt>
                <c:pt idx="3">
                  <c:v>171.44357348728045</c:v>
                </c:pt>
                <c:pt idx="4">
                  <c:v>6.2527760746888816E-13</c:v>
                </c:pt>
                <c:pt idx="5">
                  <c:v>0</c:v>
                </c:pt>
              </c:numCache>
            </c:numRef>
          </c:val>
          <c:extLst>
            <c:ext xmlns:c16="http://schemas.microsoft.com/office/drawing/2014/chart" uri="{C3380CC4-5D6E-409C-BE32-E72D297353CC}">
              <c16:uniqueId val="{00000001-5DAF-428C-BD16-C8EC9D7F80B1}"/>
            </c:ext>
          </c:extLst>
        </c:ser>
        <c:ser>
          <c:idx val="2"/>
          <c:order val="2"/>
          <c:tx>
            <c:v>Net vs budget</c:v>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Dashboard'!$A$90:$A$95</c:f>
              <c:strCache>
                <c:ptCount val="6"/>
                <c:pt idx="0">
                  <c:v>YTD variance</c:v>
                </c:pt>
                <c:pt idx="1">
                  <c:v>Structural re-forecasts</c:v>
                </c:pt>
                <c:pt idx="2">
                  <c:v>Cut-spend recovery</c:v>
                </c:pt>
                <c:pt idx="3">
                  <c:v>Timing reversal</c:v>
                </c:pt>
                <c:pt idx="4">
                  <c:v>Other / residual</c:v>
                </c:pt>
                <c:pt idx="5">
                  <c:v>Net vs budget</c:v>
                </c:pt>
              </c:strCache>
            </c:strRef>
          </c:cat>
          <c:val>
            <c:numRef>
              <c:f>'Executive Dashboard'!$E$90:$E$95</c:f>
              <c:numCache>
                <c:formatCode>#,##0.0;[Red]\(#,##0.0\);\-</c:formatCode>
                <c:ptCount val="6"/>
                <c:pt idx="0">
                  <c:v>0</c:v>
                </c:pt>
                <c:pt idx="1">
                  <c:v>0</c:v>
                </c:pt>
                <c:pt idx="2">
                  <c:v>0</c:v>
                </c:pt>
                <c:pt idx="3">
                  <c:v>0</c:v>
                </c:pt>
                <c:pt idx="4">
                  <c:v>0</c:v>
                </c:pt>
                <c:pt idx="5">
                  <c:v>-234.06502089469723</c:v>
                </c:pt>
              </c:numCache>
            </c:numRef>
          </c:val>
          <c:extLst>
            <c:ext xmlns:c16="http://schemas.microsoft.com/office/drawing/2014/chart" uri="{C3380CC4-5D6E-409C-BE32-E72D297353CC}">
              <c16:uniqueId val="{00000002-5DAF-428C-BD16-C8EC9D7F80B1}"/>
            </c:ext>
          </c:extLst>
        </c:ser>
        <c:dLbls>
          <c:showLegendKey val="0"/>
          <c:showVal val="0"/>
          <c:showCatName val="0"/>
          <c:showSerName val="0"/>
          <c:showPercent val="0"/>
          <c:showBubbleSize val="0"/>
        </c:dLbls>
        <c:gapWidth val="60"/>
        <c:overlap val="100"/>
        <c:axId val="91420763"/>
        <c:axId val="52486402"/>
      </c:barChart>
      <c:catAx>
        <c:axId val="9142076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52486402"/>
        <c:crosses val="autoZero"/>
        <c:auto val="1"/>
        <c:lblAlgn val="ctr"/>
        <c:lblOffset val="100"/>
        <c:noMultiLvlLbl val="0"/>
      </c:catAx>
      <c:valAx>
        <c:axId val="524864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42076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Material variances by cause (₹ lakh)</a:t>
            </a:r>
          </a:p>
        </c:rich>
      </c:tx>
      <c:overlay val="0"/>
      <c:spPr>
        <a:noFill/>
        <a:ln w="0">
          <a:noFill/>
        </a:ln>
      </c:spPr>
    </c:title>
    <c:autoTitleDeleted val="0"/>
    <c:plotArea>
      <c:layout/>
      <c:barChart>
        <c:barDir val="col"/>
        <c:grouping val="clustered"/>
        <c:varyColors val="0"/>
        <c:ser>
          <c:idx val="0"/>
          <c:order val="0"/>
          <c:tx>
            <c:v>Adverse (₹ lakh)</c:v>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Dashboard'!$A$64:$A$66</c:f>
              <c:strCache>
                <c:ptCount val="3"/>
                <c:pt idx="0">
                  <c:v>Timing</c:v>
                </c:pt>
                <c:pt idx="1">
                  <c:v>One-off</c:v>
                </c:pt>
                <c:pt idx="2">
                  <c:v>Structural</c:v>
                </c:pt>
              </c:strCache>
            </c:strRef>
          </c:cat>
          <c:val>
            <c:numRef>
              <c:f>'Executive Dashboard'!$B$64:$B$66</c:f>
              <c:numCache>
                <c:formatCode>#,##0.0;[Red]\(#,##0.0\);\-</c:formatCode>
                <c:ptCount val="3"/>
                <c:pt idx="0">
                  <c:v>-192.53861691269469</c:v>
                </c:pt>
                <c:pt idx="1">
                  <c:v>-153.9309999999999</c:v>
                </c:pt>
                <c:pt idx="2">
                  <c:v>-370.62845232804767</c:v>
                </c:pt>
              </c:numCache>
            </c:numRef>
          </c:val>
          <c:extLst>
            <c:ext xmlns:c16="http://schemas.microsoft.com/office/drawing/2014/chart" uri="{C3380CC4-5D6E-409C-BE32-E72D297353CC}">
              <c16:uniqueId val="{00000000-447B-420C-ADCC-640C25E4E554}"/>
            </c:ext>
          </c:extLst>
        </c:ser>
        <c:ser>
          <c:idx val="1"/>
          <c:order val="1"/>
          <c:tx>
            <c:v>Favourable (₹ lakh)</c:v>
          </c:tx>
          <c:spPr>
            <a:solidFill>
              <a:srgbClr val="70AD4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Dashboard'!$A$64:$A$66</c:f>
              <c:strCache>
                <c:ptCount val="3"/>
                <c:pt idx="0">
                  <c:v>Timing</c:v>
                </c:pt>
                <c:pt idx="1">
                  <c:v>One-off</c:v>
                </c:pt>
                <c:pt idx="2">
                  <c:v>Structural</c:v>
                </c:pt>
              </c:strCache>
            </c:strRef>
          </c:cat>
          <c:val>
            <c:numRef>
              <c:f>'Executive Dashboard'!$C$64:$C$66</c:f>
              <c:numCache>
                <c:formatCode>#,##0.0;[Red]\(#,##0.0\);\-</c:formatCode>
                <c:ptCount val="3"/>
                <c:pt idx="0">
                  <c:v>0</c:v>
                </c:pt>
                <c:pt idx="1">
                  <c:v>0</c:v>
                </c:pt>
                <c:pt idx="2">
                  <c:v>204.08460690000038</c:v>
                </c:pt>
              </c:numCache>
            </c:numRef>
          </c:val>
          <c:extLst>
            <c:ext xmlns:c16="http://schemas.microsoft.com/office/drawing/2014/chart" uri="{C3380CC4-5D6E-409C-BE32-E72D297353CC}">
              <c16:uniqueId val="{00000001-447B-420C-ADCC-640C25E4E554}"/>
            </c:ext>
          </c:extLst>
        </c:ser>
        <c:dLbls>
          <c:showLegendKey val="0"/>
          <c:showVal val="0"/>
          <c:showCatName val="0"/>
          <c:showSerName val="0"/>
          <c:showPercent val="0"/>
          <c:showBubbleSize val="0"/>
        </c:dLbls>
        <c:gapWidth val="150"/>
        <c:axId val="3084867"/>
        <c:axId val="93291415"/>
      </c:barChart>
      <c:catAx>
        <c:axId val="308486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93291415"/>
        <c:crosses val="autoZero"/>
        <c:auto val="1"/>
        <c:lblAlgn val="ctr"/>
        <c:lblOffset val="100"/>
        <c:noMultiLvlLbl val="0"/>
      </c:catAx>
      <c:valAx>
        <c:axId val="9329141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848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EBITDA margin: budget vs actual / forecast</a:t>
            </a:r>
          </a:p>
        </c:rich>
      </c:tx>
      <c:overlay val="0"/>
      <c:spPr>
        <a:noFill/>
        <a:ln w="0">
          <a:noFill/>
        </a:ln>
      </c:spPr>
    </c:title>
    <c:autoTitleDeleted val="0"/>
    <c:plotArea>
      <c:layout/>
      <c:lineChart>
        <c:grouping val="standard"/>
        <c:varyColors val="0"/>
        <c:ser>
          <c:idx val="0"/>
          <c:order val="0"/>
          <c:tx>
            <c:v>Budget EBITDA margin</c:v>
          </c:tx>
          <c:spPr>
            <a:ln w="21960">
              <a:solidFill>
                <a:srgbClr val="7F7F7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'Executive Dashboard'!$A$100:$A$111</c:f>
              <c:numCache>
                <c:formatCode>mmm\-yy</c:formatCode>
                <c:ptCount val="12"/>
                <c:pt idx="0">
                  <c:v>46113</c:v>
                </c:pt>
                <c:pt idx="1">
                  <c:v>46143</c:v>
                </c:pt>
                <c:pt idx="2">
                  <c:v>46174</c:v>
                </c:pt>
                <c:pt idx="3">
                  <c:v>46204</c:v>
                </c:pt>
                <c:pt idx="4">
                  <c:v>46235</c:v>
                </c:pt>
                <c:pt idx="5">
                  <c:v>46266</c:v>
                </c:pt>
                <c:pt idx="6">
                  <c:v>46296</c:v>
                </c:pt>
                <c:pt idx="7">
                  <c:v>46327</c:v>
                </c:pt>
                <c:pt idx="8">
                  <c:v>46357</c:v>
                </c:pt>
                <c:pt idx="9">
                  <c:v>46388</c:v>
                </c:pt>
                <c:pt idx="10">
                  <c:v>46419</c:v>
                </c:pt>
                <c:pt idx="11">
                  <c:v>46447</c:v>
                </c:pt>
              </c:numCache>
            </c:numRef>
          </c:cat>
          <c:val>
            <c:numRef>
              <c:f>'Executive Dashboard'!$B$100:$B$111</c:f>
              <c:numCache>
                <c:formatCode>0.0%;\(0.0%\);\-</c:formatCode>
                <c:ptCount val="12"/>
                <c:pt idx="0">
                  <c:v>0.10839286134468164</c:v>
                </c:pt>
                <c:pt idx="1">
                  <c:v>0.10910055966568455</c:v>
                </c:pt>
                <c:pt idx="2">
                  <c:v>0.10456465515740784</c:v>
                </c:pt>
                <c:pt idx="3">
                  <c:v>9.969827611347519E-2</c:v>
                </c:pt>
                <c:pt idx="4">
                  <c:v>0.10940870623097035</c:v>
                </c:pt>
                <c:pt idx="5">
                  <c:v>0.11753894442211697</c:v>
                </c:pt>
                <c:pt idx="6">
                  <c:v>0.1434660565148336</c:v>
                </c:pt>
                <c:pt idx="7">
                  <c:v>0.13852176123998705</c:v>
                </c:pt>
                <c:pt idx="8">
                  <c:v>0.12582465763887363</c:v>
                </c:pt>
                <c:pt idx="9">
                  <c:v>0.11888881996277972</c:v>
                </c:pt>
                <c:pt idx="10">
                  <c:v>0.1115260215389387</c:v>
                </c:pt>
                <c:pt idx="11">
                  <c:v>0.11713152678515898</c:v>
                </c:pt>
              </c:numCache>
            </c:numRef>
          </c:val>
          <c:smooth val="0"/>
          <c:extLst>
            <c:ext xmlns:c16="http://schemas.microsoft.com/office/drawing/2014/chart" uri="{C3380CC4-5D6E-409C-BE32-E72D297353CC}">
              <c16:uniqueId val="{00000000-45D6-4353-97FD-53FE16614BEA}"/>
            </c:ext>
          </c:extLst>
        </c:ser>
        <c:ser>
          <c:idx val="1"/>
          <c:order val="1"/>
          <c:tx>
            <c:v>Actual / forecast EBITDA margin</c:v>
          </c:tx>
          <c:spPr>
            <a:ln w="2196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'Executive Dashboard'!$A$100:$A$111</c:f>
              <c:numCache>
                <c:formatCode>mmm\-yy</c:formatCode>
                <c:ptCount val="12"/>
                <c:pt idx="0">
                  <c:v>46113</c:v>
                </c:pt>
                <c:pt idx="1">
                  <c:v>46143</c:v>
                </c:pt>
                <c:pt idx="2">
                  <c:v>46174</c:v>
                </c:pt>
                <c:pt idx="3">
                  <c:v>46204</c:v>
                </c:pt>
                <c:pt idx="4">
                  <c:v>46235</c:v>
                </c:pt>
                <c:pt idx="5">
                  <c:v>46266</c:v>
                </c:pt>
                <c:pt idx="6">
                  <c:v>46296</c:v>
                </c:pt>
                <c:pt idx="7">
                  <c:v>46327</c:v>
                </c:pt>
                <c:pt idx="8">
                  <c:v>46357</c:v>
                </c:pt>
                <c:pt idx="9">
                  <c:v>46388</c:v>
                </c:pt>
                <c:pt idx="10">
                  <c:v>46419</c:v>
                </c:pt>
                <c:pt idx="11">
                  <c:v>46447</c:v>
                </c:pt>
              </c:numCache>
            </c:numRef>
          </c:cat>
          <c:val>
            <c:numRef>
              <c:f>'Executive Dashboard'!$C$100:$C$111</c:f>
              <c:numCache>
                <c:formatCode>0.0%;\(0.0%\);\-</c:formatCode>
                <c:ptCount val="12"/>
                <c:pt idx="0">
                  <c:v>0.1095668535495601</c:v>
                </c:pt>
                <c:pt idx="1">
                  <c:v>0.10297092920071556</c:v>
                </c:pt>
                <c:pt idx="2">
                  <c:v>6.6842345150357321E-2</c:v>
                </c:pt>
                <c:pt idx="3">
                  <c:v>7.9022563903259971E-2</c:v>
                </c:pt>
                <c:pt idx="4">
                  <c:v>9.0215958665170584E-2</c:v>
                </c:pt>
                <c:pt idx="5">
                  <c:v>7.9824883626068682E-2</c:v>
                </c:pt>
                <c:pt idx="6">
                  <c:v>0.16281983663113275</c:v>
                </c:pt>
                <c:pt idx="7">
                  <c:v>0.15859882796975</c:v>
                </c:pt>
                <c:pt idx="8">
                  <c:v>0.12613903829157658</c:v>
                </c:pt>
                <c:pt idx="9">
                  <c:v>0.11911859727609764</c:v>
                </c:pt>
                <c:pt idx="10">
                  <c:v>0.11168913318461253</c:v>
                </c:pt>
                <c:pt idx="11">
                  <c:v>0.11737380005827693</c:v>
                </c:pt>
              </c:numCache>
            </c:numRef>
          </c:val>
          <c:smooth val="0"/>
          <c:extLst>
            <c:ext xmlns:c16="http://schemas.microsoft.com/office/drawing/2014/chart" uri="{C3380CC4-5D6E-409C-BE32-E72D297353CC}">
              <c16:uniqueId val="{00000001-45D6-4353-97FD-53FE16614BEA}"/>
            </c:ext>
          </c:extLst>
        </c:ser>
        <c:dLbls>
          <c:showLegendKey val="0"/>
          <c:showVal val="0"/>
          <c:showCatName val="0"/>
          <c:showSerName val="0"/>
          <c:showPercent val="0"/>
          <c:showBubbleSize val="0"/>
        </c:dLbls>
        <c:hiLowLines>
          <c:spPr>
            <a:ln w="0">
              <a:noFill/>
            </a:ln>
          </c:spPr>
        </c:hiLowLines>
        <c:smooth val="0"/>
        <c:axId val="64225728"/>
        <c:axId val="91620734"/>
      </c:lineChart>
      <c:dateAx>
        <c:axId val="64225728"/>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620734"/>
        <c:crosses val="autoZero"/>
        <c:auto val="1"/>
        <c:lblOffset val="100"/>
        <c:baseTimeUnit val="months"/>
      </c:dateAx>
      <c:valAx>
        <c:axId val="9162073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22572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130680</xdr:rowOff>
    </xdr:from>
    <xdr:to>
      <xdr:col>4</xdr:col>
      <xdr:colOff>74160</xdr:colOff>
      <xdr:row>20</xdr:row>
      <xdr:rowOff>9000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xdr:row>
      <xdr:rowOff>130680</xdr:rowOff>
    </xdr:from>
    <xdr:to>
      <xdr:col>10</xdr:col>
      <xdr:colOff>621720</xdr:colOff>
      <xdr:row>20</xdr:row>
      <xdr:rowOff>9000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130680</xdr:rowOff>
    </xdr:from>
    <xdr:to>
      <xdr:col>4</xdr:col>
      <xdr:colOff>74160</xdr:colOff>
      <xdr:row>37</xdr:row>
      <xdr:rowOff>9000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22</xdr:row>
      <xdr:rowOff>130680</xdr:rowOff>
    </xdr:from>
    <xdr:to>
      <xdr:col>10</xdr:col>
      <xdr:colOff>621720</xdr:colOff>
      <xdr:row>37</xdr:row>
      <xdr:rowOff>9000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2:F29"/>
  <sheetViews>
    <sheetView showGridLines="0" zoomScaleNormal="100" workbookViewId="0">
      <selection activeCell="H18" sqref="H18"/>
    </sheetView>
  </sheetViews>
  <sheetFormatPr defaultColWidth="8.6328125" defaultRowHeight="14.5" x14ac:dyDescent="0.35"/>
  <cols>
    <col min="1" max="1" width="3" customWidth="1"/>
    <col min="2" max="2" width="46" customWidth="1"/>
    <col min="3" max="3" width="24" customWidth="1"/>
    <col min="4" max="5" width="14" customWidth="1"/>
    <col min="6" max="6" width="16" customWidth="1"/>
  </cols>
  <sheetData>
    <row r="2" spans="2:6" ht="25" x14ac:dyDescent="0.5">
      <c r="B2" s="3" t="s">
        <v>0</v>
      </c>
    </row>
    <row r="3" spans="2:6" ht="15.5" x14ac:dyDescent="0.35">
      <c r="B3" s="4" t="s">
        <v>1</v>
      </c>
    </row>
    <row r="4" spans="2:6" x14ac:dyDescent="0.35">
      <c r="B4" s="5" t="s">
        <v>2</v>
      </c>
      <c r="C4" s="5" t="s">
        <v>3</v>
      </c>
    </row>
    <row r="5" spans="2:6" x14ac:dyDescent="0.35">
      <c r="B5" s="6" t="s">
        <v>4</v>
      </c>
    </row>
    <row r="7" spans="2:6" x14ac:dyDescent="0.35">
      <c r="B7" s="7" t="s">
        <v>5</v>
      </c>
      <c r="C7" s="8"/>
      <c r="D7" s="8"/>
      <c r="E7" s="8"/>
      <c r="F7" s="8"/>
    </row>
    <row r="8" spans="2:6" x14ac:dyDescent="0.35">
      <c r="B8" s="5" t="s">
        <v>6</v>
      </c>
      <c r="F8" s="9">
        <f>'Historical Data'!AB12/100</f>
        <v>399.99958649000007</v>
      </c>
    </row>
    <row r="9" spans="2:6" x14ac:dyDescent="0.35">
      <c r="B9" s="5" t="s">
        <v>7</v>
      </c>
      <c r="F9" s="10">
        <f>'Historical Data'!AB40</f>
        <v>0.10024406985481346</v>
      </c>
    </row>
    <row r="10" spans="2:6" x14ac:dyDescent="0.35">
      <c r="B10" s="5" t="s">
        <v>8</v>
      </c>
      <c r="F10" s="9">
        <f>'Assumptions &amp; Budget'!O67/100</f>
        <v>453.44689766691306</v>
      </c>
    </row>
    <row r="11" spans="2:6" x14ac:dyDescent="0.35">
      <c r="B11" s="5" t="s">
        <v>9</v>
      </c>
      <c r="F11" s="10">
        <f>'Assumptions &amp; Budget'!O95</f>
        <v>0.1181585721025207</v>
      </c>
    </row>
    <row r="12" spans="2:6" x14ac:dyDescent="0.35">
      <c r="B12" s="5" t="s">
        <v>10</v>
      </c>
      <c r="F12" s="9">
        <f>'Rolling Forecast'!O12/100</f>
        <v>455.37875203329816</v>
      </c>
    </row>
    <row r="13" spans="2:6" x14ac:dyDescent="0.35">
      <c r="B13" s="5" t="s">
        <v>11</v>
      </c>
      <c r="F13" s="10">
        <f>'Rolling Forecast'!O40</f>
        <v>0.11251730019222918</v>
      </c>
    </row>
    <row r="14" spans="2:6" x14ac:dyDescent="0.35">
      <c r="B14" s="5" t="s">
        <v>12</v>
      </c>
      <c r="F14" s="11">
        <f>'Assumptions &amp; Budget'!$C$6</f>
        <v>46266</v>
      </c>
    </row>
    <row r="16" spans="2:6" x14ac:dyDescent="0.35">
      <c r="B16" s="7" t="s">
        <v>13</v>
      </c>
      <c r="C16" s="8"/>
      <c r="D16" s="8"/>
      <c r="E16" s="8"/>
      <c r="F16" s="8"/>
    </row>
    <row r="17" spans="2:6" x14ac:dyDescent="0.35">
      <c r="B17" s="12" t="s">
        <v>14</v>
      </c>
      <c r="C17" s="5" t="s">
        <v>15</v>
      </c>
    </row>
    <row r="18" spans="2:6" x14ac:dyDescent="0.35">
      <c r="B18" s="12" t="s">
        <v>16</v>
      </c>
      <c r="C18" s="5" t="s">
        <v>17</v>
      </c>
    </row>
    <row r="19" spans="2:6" x14ac:dyDescent="0.35">
      <c r="B19" s="12" t="s">
        <v>18</v>
      </c>
      <c r="C19" s="5" t="s">
        <v>19</v>
      </c>
    </row>
    <row r="20" spans="2:6" x14ac:dyDescent="0.35">
      <c r="B20" s="12" t="s">
        <v>20</v>
      </c>
      <c r="C20" s="5" t="s">
        <v>21</v>
      </c>
    </row>
    <row r="21" spans="2:6" x14ac:dyDescent="0.35">
      <c r="B21" s="12" t="s">
        <v>22</v>
      </c>
      <c r="C21" s="5" t="s">
        <v>23</v>
      </c>
    </row>
    <row r="22" spans="2:6" x14ac:dyDescent="0.35">
      <c r="B22" s="12" t="s">
        <v>24</v>
      </c>
      <c r="C22" s="5" t="s">
        <v>25</v>
      </c>
    </row>
    <row r="23" spans="2:6" x14ac:dyDescent="0.35">
      <c r="B23" s="12" t="s">
        <v>26</v>
      </c>
      <c r="C23" s="5" t="s">
        <v>27</v>
      </c>
    </row>
    <row r="24" spans="2:6" x14ac:dyDescent="0.35">
      <c r="B24" s="12" t="s">
        <v>28</v>
      </c>
      <c r="C24" s="5" t="s">
        <v>29</v>
      </c>
    </row>
    <row r="25" spans="2:6" x14ac:dyDescent="0.35">
      <c r="B25" s="7" t="s">
        <v>30</v>
      </c>
      <c r="C25" s="8"/>
      <c r="D25" s="8"/>
      <c r="E25" s="8"/>
      <c r="F25" s="8"/>
    </row>
    <row r="26" spans="2:6" x14ac:dyDescent="0.35">
      <c r="B26" s="13" t="s">
        <v>31</v>
      </c>
      <c r="C26" s="5" t="s">
        <v>32</v>
      </c>
    </row>
    <row r="27" spans="2:6" x14ac:dyDescent="0.35">
      <c r="B27" s="5" t="s">
        <v>33</v>
      </c>
      <c r="C27" s="5" t="s">
        <v>34</v>
      </c>
    </row>
    <row r="28" spans="2:6" x14ac:dyDescent="0.35">
      <c r="B28" s="14" t="s">
        <v>35</v>
      </c>
      <c r="C28" s="5" t="s">
        <v>36</v>
      </c>
    </row>
    <row r="29" spans="2:6" x14ac:dyDescent="0.35">
      <c r="B29" s="15" t="s">
        <v>37</v>
      </c>
      <c r="C29" s="5" t="s">
        <v>38</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A1:L111"/>
  <sheetViews>
    <sheetView showGridLines="0" zoomScale="55" zoomScaleNormal="55" workbookViewId="0">
      <selection activeCell="V20" sqref="V20"/>
    </sheetView>
  </sheetViews>
  <sheetFormatPr defaultColWidth="8.6328125" defaultRowHeight="14.5" x14ac:dyDescent="0.35"/>
  <cols>
    <col min="1" max="1" width="34" customWidth="1"/>
    <col min="2" max="12" width="13" customWidth="1"/>
  </cols>
  <sheetData>
    <row r="1" spans="1:11" ht="20" x14ac:dyDescent="0.4">
      <c r="A1" s="16" t="s">
        <v>39</v>
      </c>
    </row>
    <row r="2" spans="1:11" x14ac:dyDescent="0.35">
      <c r="A2" s="6" t="str">
        <f>"Decision view · ₹ lakh unless stated · Actuals loaded through "&amp;TEXT('Assumptions &amp; Budget'!$C$6,"mmm-yy")</f>
        <v>Decision view · ₹ lakh unless stated · Actuals loaded through Sep-26</v>
      </c>
    </row>
    <row r="4" spans="1:11" x14ac:dyDescent="0.35">
      <c r="A4" s="2" t="s">
        <v>40</v>
      </c>
      <c r="B4" s="68" t="s">
        <v>41</v>
      </c>
      <c r="C4" s="68"/>
      <c r="D4" s="68" t="s">
        <v>42</v>
      </c>
      <c r="E4" s="68"/>
      <c r="F4" s="68" t="s">
        <v>9</v>
      </c>
      <c r="G4" s="68"/>
      <c r="H4" s="68" t="s">
        <v>43</v>
      </c>
      <c r="I4" s="68"/>
      <c r="J4" s="68" t="s">
        <v>44</v>
      </c>
      <c r="K4" s="68"/>
    </row>
    <row r="5" spans="1:11" ht="30" customHeight="1" x14ac:dyDescent="0.5">
      <c r="A5" s="1">
        <f>'Assumptions &amp; Budget'!O67/100</f>
        <v>453.44689766691306</v>
      </c>
      <c r="B5" s="64">
        <f>'Rolling Forecast'!O12/100</f>
        <v>455.37875203329816</v>
      </c>
      <c r="C5" s="64"/>
      <c r="D5" s="65">
        <f>'Actual vs Budget'!O143</f>
        <v>-413.17005914730726</v>
      </c>
      <c r="E5" s="65"/>
      <c r="F5" s="66">
        <f>'Assumptions &amp; Budget'!O95</f>
        <v>0.1181585721025207</v>
      </c>
      <c r="G5" s="66"/>
      <c r="H5" s="66">
        <f>'Rolling Forecast'!O40</f>
        <v>0.11251730019222918</v>
      </c>
      <c r="I5" s="66"/>
      <c r="J5" s="67">
        <f>'Variance-to-Action Log'!C27</f>
        <v>8</v>
      </c>
      <c r="K5" s="67"/>
    </row>
    <row r="40" spans="1:12" x14ac:dyDescent="0.35">
      <c r="A40" s="6" t="s">
        <v>45</v>
      </c>
    </row>
    <row r="48" spans="1:12" x14ac:dyDescent="0.35">
      <c r="A48" s="7" t="s">
        <v>46</v>
      </c>
      <c r="B48" s="8"/>
      <c r="C48" s="8"/>
      <c r="D48" s="8"/>
      <c r="E48" s="8"/>
      <c r="F48" s="8"/>
      <c r="G48" s="8"/>
      <c r="H48" s="8"/>
      <c r="I48" s="8"/>
      <c r="J48" s="8"/>
      <c r="K48" s="8"/>
      <c r="L48" s="8"/>
    </row>
    <row r="50" spans="1:7" x14ac:dyDescent="0.35">
      <c r="A50" s="17" t="s">
        <v>47</v>
      </c>
      <c r="B50" s="17" t="s">
        <v>48</v>
      </c>
      <c r="C50" s="17" t="s">
        <v>49</v>
      </c>
      <c r="D50" s="17" t="s">
        <v>50</v>
      </c>
      <c r="E50" s="17" t="s">
        <v>51</v>
      </c>
      <c r="F50" s="17" t="s">
        <v>52</v>
      </c>
      <c r="G50" s="17" t="s">
        <v>53</v>
      </c>
    </row>
    <row r="51" spans="1:7" x14ac:dyDescent="0.35">
      <c r="A51" s="5" t="s">
        <v>54</v>
      </c>
      <c r="B51" s="18">
        <f>'Actual vs Budget'!O87</f>
        <v>2299.0598051473071</v>
      </c>
      <c r="C51" s="19">
        <f>B51</f>
        <v>2299.0598051473071</v>
      </c>
      <c r="D51" s="19">
        <f>0</f>
        <v>0</v>
      </c>
      <c r="E51" s="19">
        <f>0</f>
        <v>0</v>
      </c>
      <c r="F51" s="19">
        <f>0</f>
        <v>0</v>
      </c>
      <c r="G51" s="19">
        <f>B51</f>
        <v>2299.0598051473071</v>
      </c>
    </row>
    <row r="52" spans="1:7" x14ac:dyDescent="0.35">
      <c r="A52" s="5" t="s">
        <v>55</v>
      </c>
      <c r="B52" s="18">
        <f>'Actual vs Budget'!O119</f>
        <v>193.18543663851051</v>
      </c>
      <c r="C52" s="19">
        <f t="shared" ref="C52:C58" si="0">C51+B52</f>
        <v>2492.2452417858176</v>
      </c>
      <c r="D52" s="19">
        <f t="shared" ref="D52:D58" si="1">MIN(C51,C52)</f>
        <v>2299.0598051473071</v>
      </c>
      <c r="E52" s="19">
        <f t="shared" ref="E52:E58" si="2">MAX(B52,0)</f>
        <v>193.18543663851051</v>
      </c>
      <c r="F52" s="19">
        <f t="shared" ref="F52:F58" si="3">MAX(-B52,0)</f>
        <v>0</v>
      </c>
      <c r="G52" s="19">
        <f>0</f>
        <v>0</v>
      </c>
    </row>
    <row r="53" spans="1:7" x14ac:dyDescent="0.35">
      <c r="A53" s="5" t="s">
        <v>56</v>
      </c>
      <c r="B53" s="18">
        <f>'Actual vs Budget'!O120</f>
        <v>115.68833590206282</v>
      </c>
      <c r="C53" s="19">
        <f t="shared" si="0"/>
        <v>2607.9335776878806</v>
      </c>
      <c r="D53" s="19">
        <f t="shared" si="1"/>
        <v>2492.2452417858176</v>
      </c>
      <c r="E53" s="19">
        <f t="shared" si="2"/>
        <v>115.68833590206282</v>
      </c>
      <c r="F53" s="19">
        <f t="shared" si="3"/>
        <v>0</v>
      </c>
      <c r="G53" s="19">
        <f>0</f>
        <v>0</v>
      </c>
    </row>
    <row r="54" spans="1:7" x14ac:dyDescent="0.35">
      <c r="A54" s="5" t="s">
        <v>57</v>
      </c>
      <c r="B54" s="18">
        <f>'Actual vs Budget'!O124</f>
        <v>-83.74969753479769</v>
      </c>
      <c r="C54" s="19">
        <f t="shared" si="0"/>
        <v>2524.183880153083</v>
      </c>
      <c r="D54" s="19">
        <f t="shared" si="1"/>
        <v>2524.183880153083</v>
      </c>
      <c r="E54" s="19">
        <f t="shared" si="2"/>
        <v>0</v>
      </c>
      <c r="F54" s="19">
        <f t="shared" si="3"/>
        <v>83.74969753479769</v>
      </c>
      <c r="G54" s="19">
        <f>0</f>
        <v>0</v>
      </c>
    </row>
    <row r="55" spans="1:7" x14ac:dyDescent="0.35">
      <c r="A55" s="5" t="s">
        <v>58</v>
      </c>
      <c r="B55" s="18">
        <f>'Actual vs Budget'!O128</f>
        <v>-193.17241511375852</v>
      </c>
      <c r="C55" s="19">
        <f t="shared" si="0"/>
        <v>2331.0114650393243</v>
      </c>
      <c r="D55" s="19">
        <f t="shared" si="1"/>
        <v>2331.0114650393243</v>
      </c>
      <c r="E55" s="19">
        <f t="shared" si="2"/>
        <v>0</v>
      </c>
      <c r="F55" s="19">
        <f t="shared" si="3"/>
        <v>193.17241511375852</v>
      </c>
      <c r="G55" s="19">
        <f>0</f>
        <v>0</v>
      </c>
    </row>
    <row r="56" spans="1:7" x14ac:dyDescent="0.35">
      <c r="A56" s="5" t="s">
        <v>59</v>
      </c>
      <c r="B56" s="18">
        <f>'Actual vs Budget'!O132</f>
        <v>-366.01186420061526</v>
      </c>
      <c r="C56" s="19">
        <f t="shared" si="0"/>
        <v>1964.9996008387091</v>
      </c>
      <c r="D56" s="19">
        <f t="shared" si="1"/>
        <v>1964.9996008387091</v>
      </c>
      <c r="E56" s="19">
        <f t="shared" si="2"/>
        <v>0</v>
      </c>
      <c r="F56" s="19">
        <f t="shared" si="3"/>
        <v>366.01186420061526</v>
      </c>
      <c r="G56" s="19">
        <f>0</f>
        <v>0</v>
      </c>
    </row>
    <row r="57" spans="1:7" x14ac:dyDescent="0.35">
      <c r="A57" s="5" t="s">
        <v>60</v>
      </c>
      <c r="B57" s="18">
        <f>'Actual vs Budget'!O138</f>
        <v>-82.827354838709624</v>
      </c>
      <c r="C57" s="19">
        <f t="shared" si="0"/>
        <v>1882.1722459999994</v>
      </c>
      <c r="D57" s="19">
        <f t="shared" si="1"/>
        <v>1882.1722459999994</v>
      </c>
      <c r="E57" s="19">
        <f t="shared" si="2"/>
        <v>0</v>
      </c>
      <c r="F57" s="19">
        <f t="shared" si="3"/>
        <v>82.827354838709624</v>
      </c>
      <c r="G57" s="19">
        <f>0</f>
        <v>0</v>
      </c>
    </row>
    <row r="58" spans="1:7" x14ac:dyDescent="0.35">
      <c r="A58" s="5" t="s">
        <v>61</v>
      </c>
      <c r="B58" s="20">
        <f>'Actual vs Budget'!O135+'Actual vs Budget'!O141</f>
        <v>3.7175000000000544</v>
      </c>
      <c r="C58" s="19">
        <f t="shared" si="0"/>
        <v>1885.8897459999994</v>
      </c>
      <c r="D58" s="19">
        <f t="shared" si="1"/>
        <v>1882.1722459999994</v>
      </c>
      <c r="E58" s="19">
        <f t="shared" si="2"/>
        <v>3.7175000000000544</v>
      </c>
      <c r="F58" s="19">
        <f t="shared" si="3"/>
        <v>0</v>
      </c>
      <c r="G58" s="19">
        <f>0</f>
        <v>0</v>
      </c>
    </row>
    <row r="59" spans="1:7" x14ac:dyDescent="0.35">
      <c r="A59" s="5" t="s">
        <v>62</v>
      </c>
      <c r="B59" s="18">
        <f>'Actual vs Budget'!O40</f>
        <v>1885.8897460000007</v>
      </c>
      <c r="C59" s="19">
        <f>B59</f>
        <v>1885.8897460000007</v>
      </c>
      <c r="D59" s="19">
        <f>0</f>
        <v>0</v>
      </c>
      <c r="E59" s="19">
        <f>0</f>
        <v>0</v>
      </c>
      <c r="F59" s="19">
        <f>0</f>
        <v>0</v>
      </c>
      <c r="G59" s="19">
        <f>B59</f>
        <v>1885.8897460000007</v>
      </c>
    </row>
    <row r="60" spans="1:7" x14ac:dyDescent="0.35">
      <c r="A60" s="6" t="s">
        <v>63</v>
      </c>
      <c r="B60" s="21">
        <f>ROUND(C58-B59,3)</f>
        <v>0</v>
      </c>
    </row>
    <row r="63" spans="1:7" ht="26" x14ac:dyDescent="0.35">
      <c r="A63" s="17" t="s">
        <v>64</v>
      </c>
      <c r="B63" s="17" t="s">
        <v>65</v>
      </c>
      <c r="C63" s="17" t="s">
        <v>66</v>
      </c>
    </row>
    <row r="64" spans="1:7" x14ac:dyDescent="0.35">
      <c r="A64" s="5" t="s">
        <v>67</v>
      </c>
      <c r="B64" s="20">
        <f>SUMIFS('Variance-to-Action Log'!$X$8:$X$23,'Variance-to-Action Log'!$O$8:$O$23,A64,'Variance-to-Action Log'!$X$8:$X$23,"&lt;0")</f>
        <v>-192.53861691269469</v>
      </c>
      <c r="C64" s="20">
        <f>SUMIFS('Variance-to-Action Log'!$X$8:$X$23,'Variance-to-Action Log'!$O$8:$O$23,A64,'Variance-to-Action Log'!$X$8:$X$23,"&gt;0")</f>
        <v>0</v>
      </c>
    </row>
    <row r="65" spans="1:6" x14ac:dyDescent="0.35">
      <c r="A65" s="5" t="s">
        <v>68</v>
      </c>
      <c r="B65" s="20">
        <f>SUMIFS('Variance-to-Action Log'!$X$8:$X$23,'Variance-to-Action Log'!$O$8:$O$23,A65,'Variance-to-Action Log'!$X$8:$X$23,"&lt;0")</f>
        <v>-153.9309999999999</v>
      </c>
      <c r="C65" s="20">
        <f>SUMIFS('Variance-to-Action Log'!$X$8:$X$23,'Variance-to-Action Log'!$O$8:$O$23,A65,'Variance-to-Action Log'!$X$8:$X$23,"&gt;0")</f>
        <v>0</v>
      </c>
    </row>
    <row r="66" spans="1:6" x14ac:dyDescent="0.35">
      <c r="A66" s="5" t="s">
        <v>69</v>
      </c>
      <c r="B66" s="20">
        <f>SUMIFS('Variance-to-Action Log'!$X$8:$X$23,'Variance-to-Action Log'!$O$8:$O$23,A66,'Variance-to-Action Log'!$X$8:$X$23,"&lt;0")</f>
        <v>-370.62845232804767</v>
      </c>
      <c r="C66" s="20">
        <f>SUMIFS('Variance-to-Action Log'!$X$8:$X$23,'Variance-to-Action Log'!$O$8:$O$23,A66,'Variance-to-Action Log'!$X$8:$X$23,"&gt;0")</f>
        <v>204.08460690000038</v>
      </c>
    </row>
    <row r="70" spans="1:6" ht="26" x14ac:dyDescent="0.35">
      <c r="A70" s="17" t="s">
        <v>70</v>
      </c>
      <c r="B70" s="17" t="s">
        <v>64</v>
      </c>
      <c r="C70" s="17" t="s">
        <v>71</v>
      </c>
      <c r="D70" s="17" t="s">
        <v>72</v>
      </c>
      <c r="E70" s="17" t="s">
        <v>73</v>
      </c>
      <c r="F70" s="17" t="s">
        <v>74</v>
      </c>
    </row>
    <row r="71" spans="1:6" x14ac:dyDescent="0.35">
      <c r="A71" s="14" t="str">
        <f>'Variance-to-Action Log'!A8</f>
        <v>Net revenue</v>
      </c>
      <c r="B71" s="5" t="str">
        <f>IF('Variance-to-Action Log'!O8="","",'Variance-to-Action Log'!O8)</f>
        <v/>
      </c>
      <c r="C71" s="14" t="str">
        <f>'Variance-to-Action Log'!T8</f>
        <v>No action</v>
      </c>
      <c r="D71" s="19">
        <f>SUMIFS('Assumptions &amp; Budget'!$C67:$N67,'Assumptions &amp; Budget'!$C$61:$N$61,"&gt;"&amp;'Assumptions &amp; Budget'!$C$6)</f>
        <v>24116.985457329814</v>
      </c>
      <c r="E71" s="19">
        <f>SUMIFS('Rolling Forecast'!$C12:$N12,'Rolling Forecast'!$C$5:$N$5,"&gt;"&amp;'Assumptions &amp; Budget'!$C$6)</f>
        <v>24116.985457329814</v>
      </c>
      <c r="F71" s="20">
        <f>E71-D71</f>
        <v>0</v>
      </c>
    </row>
    <row r="72" spans="1:6" x14ac:dyDescent="0.35">
      <c r="A72" s="14" t="str">
        <f>'Variance-to-Action Log'!A9</f>
        <v>Cost of goods sold</v>
      </c>
      <c r="B72" s="5" t="str">
        <f>IF('Variance-to-Action Log'!O9="","",'Variance-to-Action Log'!O9)</f>
        <v>Structural</v>
      </c>
      <c r="C72" s="14" t="str">
        <f>'Variance-to-Action Log'!T9</f>
        <v>Reforecast</v>
      </c>
      <c r="D72" s="19">
        <f>SUMIFS('Assumptions &amp; Budget'!$C68:$N68,'Assumptions &amp; Budget'!$C$61:$N$61,"&gt;"&amp;'Assumptions &amp; Budget'!$C$6)</f>
        <v>7476.265491772243</v>
      </c>
      <c r="E72" s="19">
        <f>SUMIFS('Rolling Forecast'!$C13:$N13,'Rolling Forecast'!$C$5:$N$5,"&gt;"&amp;'Assumptions &amp; Budget'!$C$6)</f>
        <v>7021.902102346834</v>
      </c>
      <c r="F72" s="20">
        <f t="shared" ref="F72:F86" si="4">D72-E72</f>
        <v>454.36338942540897</v>
      </c>
    </row>
    <row r="73" spans="1:6" x14ac:dyDescent="0.35">
      <c r="A73" s="14" t="str">
        <f>'Variance-to-Action Log'!A10</f>
        <v>Sales – personnel</v>
      </c>
      <c r="B73" s="5" t="str">
        <f>IF('Variance-to-Action Log'!O10="","",'Variance-to-Action Log'!O10)</f>
        <v>Structural</v>
      </c>
      <c r="C73" s="14" t="str">
        <f>'Variance-to-Action Log'!T10</f>
        <v>Reforecast</v>
      </c>
      <c r="D73" s="19">
        <f>SUMIFS('Assumptions &amp; Budget'!$C72:$N72,'Assumptions &amp; Budget'!$C$61:$N$61,"&gt;"&amp;'Assumptions &amp; Budget'!$C$6)</f>
        <v>445.04748603351965</v>
      </c>
      <c r="E73" s="19">
        <f>SUMIFS('Rolling Forecast'!$C17:$N17,'Rolling Forecast'!$C$5:$N$5,"&gt;"&amp;'Assumptions &amp; Budget'!$C$6)</f>
        <v>484.20329670329659</v>
      </c>
      <c r="F73" s="20">
        <f t="shared" si="4"/>
        <v>-39.15581066977694</v>
      </c>
    </row>
    <row r="74" spans="1:6" x14ac:dyDescent="0.35">
      <c r="A74" s="14" t="str">
        <f>'Variance-to-Action Log'!A11</f>
        <v>Sales – marketplace &amp; payment fees</v>
      </c>
      <c r="B74" s="5" t="str">
        <f>IF('Variance-to-Action Log'!O11="","",'Variance-to-Action Log'!O11)</f>
        <v>Structural</v>
      </c>
      <c r="C74" s="14" t="str">
        <f>'Variance-to-Action Log'!T11</f>
        <v>Reforecast</v>
      </c>
      <c r="D74" s="19">
        <f>SUMIFS('Assumptions &amp; Budget'!$C73:$N73,'Assumptions &amp; Budget'!$C$61:$N$61,"&gt;"&amp;'Assumptions &amp; Budget'!$C$6)</f>
        <v>723.50956371989446</v>
      </c>
      <c r="E74" s="19">
        <f>SUMIFS('Rolling Forecast'!$C18:$N18,'Rolling Forecast'!$C$5:$N$5,"&gt;"&amp;'Assumptions &amp; Budget'!$C$6)</f>
        <v>826.4204376636477</v>
      </c>
      <c r="F74" s="20">
        <f t="shared" si="4"/>
        <v>-102.91087394375324</v>
      </c>
    </row>
    <row r="75" spans="1:6" x14ac:dyDescent="0.35">
      <c r="A75" s="14" t="str">
        <f>'Variance-to-Action Log'!A12</f>
        <v>Operations – personnel</v>
      </c>
      <c r="B75" s="5" t="str">
        <f>IF('Variance-to-Action Log'!O12="","",'Variance-to-Action Log'!O12)</f>
        <v/>
      </c>
      <c r="C75" s="14" t="str">
        <f>'Variance-to-Action Log'!T12</f>
        <v>No action</v>
      </c>
      <c r="D75" s="19">
        <f>SUMIFS('Assumptions &amp; Budget'!$C75:$N75,'Assumptions &amp; Budget'!$C$61:$N$61,"&gt;"&amp;'Assumptions &amp; Budget'!$C$6)</f>
        <v>616.36348993288595</v>
      </c>
      <c r="E75" s="19">
        <f>SUMIFS('Rolling Forecast'!$C20:$N20,'Rolling Forecast'!$C$5:$N$5,"&gt;"&amp;'Assumptions &amp; Budget'!$C$6)</f>
        <v>616.36348993288595</v>
      </c>
      <c r="F75" s="20">
        <f t="shared" si="4"/>
        <v>0</v>
      </c>
    </row>
    <row r="76" spans="1:6" x14ac:dyDescent="0.35">
      <c r="A76" s="14" t="str">
        <f>'Variance-to-Action Log'!A13</f>
        <v>Operations – fulfilment &amp; logistics</v>
      </c>
      <c r="B76" s="5" t="str">
        <f>IF('Variance-to-Action Log'!O13="","",'Variance-to-Action Log'!O13)</f>
        <v>Structural</v>
      </c>
      <c r="C76" s="14" t="str">
        <f>'Variance-to-Action Log'!T13</f>
        <v>Reforecast</v>
      </c>
      <c r="D76" s="19">
        <f>SUMIFS('Assumptions &amp; Budget'!$C76:$N76,'Assumptions &amp; Budget'!$C$61:$N$61,"&gt;"&amp;'Assumptions &amp; Budget'!$C$6)</f>
        <v>1761.7107505499998</v>
      </c>
      <c r="E76" s="19">
        <f>SUMIFS('Rolling Forecast'!$C21:$N21,'Rolling Forecast'!$C$5:$N$5,"&gt;"&amp;'Assumptions &amp; Budget'!$C$6)</f>
        <v>1912.0404218894746</v>
      </c>
      <c r="F76" s="20">
        <f t="shared" si="4"/>
        <v>-150.32967133947477</v>
      </c>
    </row>
    <row r="77" spans="1:6" x14ac:dyDescent="0.35">
      <c r="A77" s="14" t="str">
        <f>'Variance-to-Action Log'!A14</f>
        <v>Operations – warehouse, QC &amp; other</v>
      </c>
      <c r="B77" s="5" t="str">
        <f>IF('Variance-to-Action Log'!O14="","",'Variance-to-Action Log'!O14)</f>
        <v>One-off</v>
      </c>
      <c r="C77" s="14" t="str">
        <f>'Variance-to-Action Log'!T14</f>
        <v>Ignore</v>
      </c>
      <c r="D77" s="19">
        <f>SUMIFS('Assumptions &amp; Budget'!$C77:$N77,'Assumptions &amp; Budget'!$C$61:$N$61,"&gt;"&amp;'Assumptions &amp; Budget'!$C$6)</f>
        <v>205.905</v>
      </c>
      <c r="E77" s="19">
        <f>SUMIFS('Rolling Forecast'!$C22:$N22,'Rolling Forecast'!$C$5:$N$5,"&gt;"&amp;'Assumptions &amp; Budget'!$C$6)</f>
        <v>205.905</v>
      </c>
      <c r="F77" s="20">
        <f t="shared" si="4"/>
        <v>0</v>
      </c>
    </row>
    <row r="78" spans="1:6" x14ac:dyDescent="0.35">
      <c r="A78" s="14" t="str">
        <f>'Variance-to-Action Log'!A15</f>
        <v>Marketing – personnel</v>
      </c>
      <c r="B78" s="5" t="str">
        <f>IF('Variance-to-Action Log'!O15="","",'Variance-to-Action Log'!O15)</f>
        <v/>
      </c>
      <c r="C78" s="14" t="str">
        <f>'Variance-to-Action Log'!T15</f>
        <v>No action</v>
      </c>
      <c r="D78" s="19">
        <f>SUMIFS('Assumptions &amp; Budget'!$C79:$N79,'Assumptions &amp; Budget'!$C$61:$N$61,"&gt;"&amp;'Assumptions &amp; Budget'!$C$6)</f>
        <v>563.06523711340208</v>
      </c>
      <c r="E78" s="19">
        <f>SUMIFS('Rolling Forecast'!$C24:$N24,'Rolling Forecast'!$C$5:$N$5,"&gt;"&amp;'Assumptions &amp; Budget'!$C$6)</f>
        <v>563.06523711340208</v>
      </c>
      <c r="F78" s="20">
        <f t="shared" si="4"/>
        <v>0</v>
      </c>
    </row>
    <row r="79" spans="1:6" x14ac:dyDescent="0.35">
      <c r="A79" s="14" t="str">
        <f>'Variance-to-Action Log'!A16</f>
        <v>Marketing – performance marketing</v>
      </c>
      <c r="B79" s="5" t="str">
        <f>IF('Variance-to-Action Log'!O16="","",'Variance-to-Action Log'!O16)</f>
        <v>Timing</v>
      </c>
      <c r="C79" s="14" t="str">
        <f>'Variance-to-Action Log'!T16</f>
        <v>Ignore</v>
      </c>
      <c r="D79" s="19">
        <f>SUMIFS('Assumptions &amp; Budget'!$C80:$N80,'Assumptions &amp; Budget'!$C$61:$N$61,"&gt;"&amp;'Assumptions &amp; Budget'!$C$6)</f>
        <v>5185.1518733259099</v>
      </c>
      <c r="E79" s="19">
        <f>SUMIFS('Rolling Forecast'!$C25:$N25,'Rolling Forecast'!$C$5:$N$5,"&gt;"&amp;'Assumptions &amp; Budget'!$C$6)</f>
        <v>5013.7082998386295</v>
      </c>
      <c r="F79" s="20">
        <f t="shared" si="4"/>
        <v>171.44357348728045</v>
      </c>
    </row>
    <row r="80" spans="1:6" x14ac:dyDescent="0.35">
      <c r="A80" s="14" t="str">
        <f>'Variance-to-Action Log'!A17</f>
        <v>Marketing – brand &amp; influencer</v>
      </c>
      <c r="B80" s="5" t="str">
        <f>IF('Variance-to-Action Log'!O17="","",'Variance-to-Action Log'!O17)</f>
        <v>Structural</v>
      </c>
      <c r="C80" s="14" t="str">
        <f>'Variance-to-Action Log'!T17</f>
        <v>Cut spend</v>
      </c>
      <c r="D80" s="19">
        <f>SUMIFS('Assumptions &amp; Budget'!$C81:$N81,'Assumptions &amp; Budget'!$C$61:$N$61,"&gt;"&amp;'Assumptions &amp; Budget'!$C$6)</f>
        <v>2411.6985457329815</v>
      </c>
      <c r="E80" s="19">
        <f>SUMIFS('Rolling Forecast'!$C26:$N26,'Rolling Forecast'!$C$5:$N$5,"&gt;"&amp;'Assumptions &amp; Budget'!$C$6)</f>
        <v>2566.0041144400566</v>
      </c>
      <c r="F80" s="20">
        <f t="shared" si="4"/>
        <v>-154.30556870707505</v>
      </c>
    </row>
    <row r="81" spans="1:6" x14ac:dyDescent="0.35">
      <c r="A81" s="14" t="str">
        <f>'Variance-to-Action Log'!A18</f>
        <v>HR – personnel</v>
      </c>
      <c r="B81" s="5" t="str">
        <f>IF('Variance-to-Action Log'!O18="","",'Variance-to-Action Log'!O18)</f>
        <v/>
      </c>
      <c r="C81" s="14" t="str">
        <f>'Variance-to-Action Log'!T18</f>
        <v>No action</v>
      </c>
      <c r="D81" s="19">
        <f>SUMIFS('Assumptions &amp; Budget'!$C83:$N83,'Assumptions &amp; Budget'!$C$61:$N$61,"&gt;"&amp;'Assumptions &amp; Budget'!$C$6)</f>
        <v>90.072000000000003</v>
      </c>
      <c r="E81" s="19">
        <f>SUMIFS('Rolling Forecast'!$C28:$N28,'Rolling Forecast'!$C$5:$N$5,"&gt;"&amp;'Assumptions &amp; Budget'!$C$6)</f>
        <v>90.072000000000003</v>
      </c>
      <c r="F81" s="20">
        <f t="shared" si="4"/>
        <v>0</v>
      </c>
    </row>
    <row r="82" spans="1:6" x14ac:dyDescent="0.35">
      <c r="A82" s="14" t="str">
        <f>'Variance-to-Action Log'!A19</f>
        <v>HR – recruitment, training &amp; other</v>
      </c>
      <c r="B82" s="5" t="str">
        <f>IF('Variance-to-Action Log'!O19="","",'Variance-to-Action Log'!O19)</f>
        <v/>
      </c>
      <c r="C82" s="14" t="str">
        <f>'Variance-to-Action Log'!T19</f>
        <v>No action</v>
      </c>
      <c r="D82" s="19">
        <f>SUMIFS('Assumptions &amp; Budget'!$C84:$N84,'Assumptions &amp; Budget'!$C$61:$N$61,"&gt;"&amp;'Assumptions &amp; Budget'!$C$6)</f>
        <v>60.742500000000007</v>
      </c>
      <c r="E82" s="19">
        <f>SUMIFS('Rolling Forecast'!$C29:$N29,'Rolling Forecast'!$C$5:$N$5,"&gt;"&amp;'Assumptions &amp; Budget'!$C$6)</f>
        <v>60.742500000000007</v>
      </c>
      <c r="F82" s="20">
        <f t="shared" si="4"/>
        <v>0</v>
      </c>
    </row>
    <row r="83" spans="1:6" x14ac:dyDescent="0.35">
      <c r="A83" s="14" t="str">
        <f>'Variance-to-Action Log'!A20</f>
        <v>IT – personnel</v>
      </c>
      <c r="B83" s="5" t="str">
        <f>IF('Variance-to-Action Log'!O20="","",'Variance-to-Action Log'!O20)</f>
        <v/>
      </c>
      <c r="C83" s="14" t="str">
        <f>'Variance-to-Action Log'!T20</f>
        <v>No action</v>
      </c>
      <c r="D83" s="19">
        <f>SUMIFS('Assumptions &amp; Budget'!$C86:$N86,'Assumptions &amp; Budget'!$C$61:$N$61,"&gt;"&amp;'Assumptions &amp; Budget'!$C$6)</f>
        <v>589.22012903225811</v>
      </c>
      <c r="E83" s="19">
        <f>SUMIFS('Rolling Forecast'!$C31:$N31,'Rolling Forecast'!$C$5:$N$5,"&gt;"&amp;'Assumptions &amp; Budget'!$C$6)</f>
        <v>589.22012903225811</v>
      </c>
      <c r="F83" s="20">
        <f t="shared" si="4"/>
        <v>0</v>
      </c>
    </row>
    <row r="84" spans="1:6" x14ac:dyDescent="0.35">
      <c r="A84" s="14" t="str">
        <f>'Variance-to-Action Log'!A21</f>
        <v>IT – software, cloud &amp; other</v>
      </c>
      <c r="B84" s="5" t="str">
        <f>IF('Variance-to-Action Log'!O21="","",'Variance-to-Action Log'!O21)</f>
        <v>One-off</v>
      </c>
      <c r="C84" s="14" t="str">
        <f>'Variance-to-Action Log'!T21</f>
        <v>Ignore</v>
      </c>
      <c r="D84" s="19">
        <f>SUMIFS('Assumptions &amp; Budget'!$C87:$N87,'Assumptions &amp; Budget'!$C$61:$N$61,"&gt;"&amp;'Assumptions &amp; Budget'!$C$6)</f>
        <v>313.26400000000007</v>
      </c>
      <c r="E84" s="19">
        <f>SUMIFS('Rolling Forecast'!$C32:$N32,'Rolling Forecast'!$C$5:$N$5,"&gt;"&amp;'Assumptions &amp; Budget'!$C$6)</f>
        <v>313.26400000000007</v>
      </c>
      <c r="F84" s="20">
        <f t="shared" si="4"/>
        <v>0</v>
      </c>
    </row>
    <row r="85" spans="1:6" x14ac:dyDescent="0.35">
      <c r="A85" s="14" t="str">
        <f>'Variance-to-Action Log'!A22</f>
        <v>Finance – personnel</v>
      </c>
      <c r="B85" s="5" t="str">
        <f>IF('Variance-to-Action Log'!O22="","",'Variance-to-Action Log'!O22)</f>
        <v/>
      </c>
      <c r="C85" s="14" t="str">
        <f>'Variance-to-Action Log'!T22</f>
        <v>No action</v>
      </c>
      <c r="D85" s="19">
        <f>SUMIFS('Assumptions &amp; Budget'!$C89:$N89,'Assumptions &amp; Budget'!$C$61:$N$61,"&gt;"&amp;'Assumptions &amp; Budget'!$C$6)</f>
        <v>243.73439999999997</v>
      </c>
      <c r="E85" s="19">
        <f>SUMIFS('Rolling Forecast'!$C34:$N34,'Rolling Forecast'!$C$5:$N$5,"&gt;"&amp;'Assumptions &amp; Budget'!$C$6)</f>
        <v>243.73439999999997</v>
      </c>
      <c r="F85" s="20">
        <f t="shared" si="4"/>
        <v>0</v>
      </c>
    </row>
    <row r="86" spans="1:6" x14ac:dyDescent="0.35">
      <c r="A86" s="14" t="str">
        <f>'Variance-to-Action Log'!A23</f>
        <v>Finance – professional fees, rent &amp; admin</v>
      </c>
      <c r="B86" s="5" t="str">
        <f>IF('Variance-to-Action Log'!O23="","",'Variance-to-Action Log'!O23)</f>
        <v/>
      </c>
      <c r="C86" s="14" t="str">
        <f>'Variance-to-Action Log'!T23</f>
        <v>No action</v>
      </c>
      <c r="D86" s="19">
        <f>SUMIFS('Assumptions &amp; Budget'!$C90:$N90,'Assumptions &amp; Budget'!$C$61:$N$61,"&gt;"&amp;'Assumptions &amp; Budget'!$C$6)</f>
        <v>372.4310000000001</v>
      </c>
      <c r="E86" s="19">
        <f>SUMIFS('Rolling Forecast'!$C35:$N35,'Rolling Forecast'!$C$5:$N$5,"&gt;"&amp;'Assumptions &amp; Budget'!$C$6)</f>
        <v>372.4310000000001</v>
      </c>
      <c r="F86" s="20">
        <f t="shared" si="4"/>
        <v>0</v>
      </c>
    </row>
    <row r="89" spans="1:6" ht="26" x14ac:dyDescent="0.35">
      <c r="A89" s="17" t="s">
        <v>47</v>
      </c>
      <c r="B89" s="17" t="s">
        <v>48</v>
      </c>
      <c r="C89" s="17" t="s">
        <v>75</v>
      </c>
      <c r="D89" s="17" t="s">
        <v>76</v>
      </c>
      <c r="E89" s="17" t="s">
        <v>77</v>
      </c>
    </row>
    <row r="90" spans="1:6" x14ac:dyDescent="0.35">
      <c r="A90" s="5" t="s">
        <v>78</v>
      </c>
      <c r="B90" s="18">
        <f>'Actual vs Budget'!O143</f>
        <v>-413.17005914730726</v>
      </c>
      <c r="C90" s="20">
        <f>MIN(B90,0)</f>
        <v>-413.17005914730726</v>
      </c>
      <c r="D90" s="20">
        <f>MAX(B90,0)</f>
        <v>0</v>
      </c>
      <c r="E90" s="20">
        <f>0</f>
        <v>0</v>
      </c>
    </row>
    <row r="91" spans="1:6" x14ac:dyDescent="0.35">
      <c r="A91" s="5" t="s">
        <v>79</v>
      </c>
      <c r="B91" s="20">
        <f>SUMIF($C$71:$C$86,"Reforecast",$F$71:$F$86)</f>
        <v>161.96703347240401</v>
      </c>
      <c r="C91" s="20">
        <f>MIN(B91,0)</f>
        <v>0</v>
      </c>
      <c r="D91" s="20">
        <f>MAX(B91,0)</f>
        <v>161.96703347240401</v>
      </c>
      <c r="E91" s="20">
        <f>0</f>
        <v>0</v>
      </c>
    </row>
    <row r="92" spans="1:6" x14ac:dyDescent="0.35">
      <c r="A92" s="5" t="s">
        <v>80</v>
      </c>
      <c r="B92" s="20">
        <f>SUMIF($C$71:$C$86,"Cut spend",$F$71:$F$86)</f>
        <v>-154.30556870707505</v>
      </c>
      <c r="C92" s="20">
        <f>MIN(B92,0)</f>
        <v>-154.30556870707505</v>
      </c>
      <c r="D92" s="20">
        <f>MAX(B92,0)</f>
        <v>0</v>
      </c>
      <c r="E92" s="20">
        <f>0</f>
        <v>0</v>
      </c>
    </row>
    <row r="93" spans="1:6" x14ac:dyDescent="0.35">
      <c r="A93" s="5" t="s">
        <v>81</v>
      </c>
      <c r="B93" s="20">
        <f>SUMIFS($F$71:$F$86,$B$71:$B$86,"Timing")</f>
        <v>171.44357348728045</v>
      </c>
      <c r="C93" s="20">
        <f>MIN(B93,0)</f>
        <v>0</v>
      </c>
      <c r="D93" s="20">
        <f>MAX(B93,0)</f>
        <v>171.44357348728045</v>
      </c>
      <c r="E93" s="20">
        <f>0</f>
        <v>0</v>
      </c>
    </row>
    <row r="94" spans="1:6" x14ac:dyDescent="0.35">
      <c r="A94" s="5" t="s">
        <v>82</v>
      </c>
      <c r="B94" s="20">
        <f>'Rolling Forecast'!O39-'Assumptions &amp; Budget'!O94-SUM(B90:B93)</f>
        <v>6.2527760746888816E-13</v>
      </c>
      <c r="C94" s="20">
        <f>MIN(B94,0)</f>
        <v>0</v>
      </c>
      <c r="D94" s="20">
        <f>MAX(B94,0)</f>
        <v>6.2527760746888816E-13</v>
      </c>
      <c r="E94" s="20">
        <f>0</f>
        <v>0</v>
      </c>
    </row>
    <row r="95" spans="1:6" x14ac:dyDescent="0.35">
      <c r="A95" s="12" t="s">
        <v>77</v>
      </c>
      <c r="B95" s="20">
        <f>'Rolling Forecast'!O39-'Assumptions &amp; Budget'!O94</f>
        <v>-234.06502089469723</v>
      </c>
      <c r="C95" s="20">
        <f>0</f>
        <v>0</v>
      </c>
      <c r="D95" s="20">
        <f>0</f>
        <v>0</v>
      </c>
      <c r="E95" s="20">
        <f>B95</f>
        <v>-234.06502089469723</v>
      </c>
    </row>
    <row r="96" spans="1:6" x14ac:dyDescent="0.35">
      <c r="A96" s="6" t="s">
        <v>63</v>
      </c>
      <c r="B96" s="21">
        <f>ROUND(SUM(B90:B94)-B95,3)</f>
        <v>0</v>
      </c>
    </row>
    <row r="99" spans="1:3" ht="52" x14ac:dyDescent="0.35">
      <c r="A99" s="17" t="s">
        <v>83</v>
      </c>
      <c r="B99" s="17" t="s">
        <v>84</v>
      </c>
      <c r="C99" s="17" t="s">
        <v>85</v>
      </c>
    </row>
    <row r="100" spans="1:3" x14ac:dyDescent="0.35">
      <c r="A100" s="22">
        <f>'Assumptions &amp; Budget'!C61</f>
        <v>46113</v>
      </c>
      <c r="B100" s="10">
        <f>'Assumptions &amp; Budget'!C95</f>
        <v>0.10839286134468164</v>
      </c>
      <c r="C100" s="10">
        <f>'Rolling Forecast'!C40</f>
        <v>0.1095668535495601</v>
      </c>
    </row>
    <row r="101" spans="1:3" x14ac:dyDescent="0.35">
      <c r="A101" s="22">
        <f>'Assumptions &amp; Budget'!D61</f>
        <v>46143</v>
      </c>
      <c r="B101" s="10">
        <f>'Assumptions &amp; Budget'!D95</f>
        <v>0.10910055966568455</v>
      </c>
      <c r="C101" s="10">
        <f>'Rolling Forecast'!D40</f>
        <v>0.10297092920071556</v>
      </c>
    </row>
    <row r="102" spans="1:3" x14ac:dyDescent="0.35">
      <c r="A102" s="22">
        <f>'Assumptions &amp; Budget'!E61</f>
        <v>46174</v>
      </c>
      <c r="B102" s="10">
        <f>'Assumptions &amp; Budget'!E95</f>
        <v>0.10456465515740784</v>
      </c>
      <c r="C102" s="10">
        <f>'Rolling Forecast'!E40</f>
        <v>6.6842345150357321E-2</v>
      </c>
    </row>
    <row r="103" spans="1:3" x14ac:dyDescent="0.35">
      <c r="A103" s="22">
        <f>'Assumptions &amp; Budget'!F61</f>
        <v>46204</v>
      </c>
      <c r="B103" s="10">
        <f>'Assumptions &amp; Budget'!F95</f>
        <v>9.969827611347519E-2</v>
      </c>
      <c r="C103" s="10">
        <f>'Rolling Forecast'!F40</f>
        <v>7.9022563903259971E-2</v>
      </c>
    </row>
    <row r="104" spans="1:3" x14ac:dyDescent="0.35">
      <c r="A104" s="22">
        <f>'Assumptions &amp; Budget'!G61</f>
        <v>46235</v>
      </c>
      <c r="B104" s="10">
        <f>'Assumptions &amp; Budget'!G95</f>
        <v>0.10940870623097035</v>
      </c>
      <c r="C104" s="10">
        <f>'Rolling Forecast'!G40</f>
        <v>9.0215958665170584E-2</v>
      </c>
    </row>
    <row r="105" spans="1:3" x14ac:dyDescent="0.35">
      <c r="A105" s="22">
        <f>'Assumptions &amp; Budget'!H61</f>
        <v>46266</v>
      </c>
      <c r="B105" s="10">
        <f>'Assumptions &amp; Budget'!H95</f>
        <v>0.11753894442211697</v>
      </c>
      <c r="C105" s="10">
        <f>'Rolling Forecast'!H40</f>
        <v>7.9824883626068682E-2</v>
      </c>
    </row>
    <row r="106" spans="1:3" x14ac:dyDescent="0.35">
      <c r="A106" s="22">
        <f>'Assumptions &amp; Budget'!I61</f>
        <v>46296</v>
      </c>
      <c r="B106" s="10">
        <f>'Assumptions &amp; Budget'!I95</f>
        <v>0.1434660565148336</v>
      </c>
      <c r="C106" s="10">
        <f>'Rolling Forecast'!I40</f>
        <v>0.16281983663113275</v>
      </c>
    </row>
    <row r="107" spans="1:3" x14ac:dyDescent="0.35">
      <c r="A107" s="22">
        <f>'Assumptions &amp; Budget'!J61</f>
        <v>46327</v>
      </c>
      <c r="B107" s="10">
        <f>'Assumptions &amp; Budget'!J95</f>
        <v>0.13852176123998705</v>
      </c>
      <c r="C107" s="10">
        <f>'Rolling Forecast'!J40</f>
        <v>0.15859882796975</v>
      </c>
    </row>
    <row r="108" spans="1:3" x14ac:dyDescent="0.35">
      <c r="A108" s="22">
        <f>'Assumptions &amp; Budget'!K61</f>
        <v>46357</v>
      </c>
      <c r="B108" s="10">
        <f>'Assumptions &amp; Budget'!K95</f>
        <v>0.12582465763887363</v>
      </c>
      <c r="C108" s="10">
        <f>'Rolling Forecast'!K40</f>
        <v>0.12613903829157658</v>
      </c>
    </row>
    <row r="109" spans="1:3" x14ac:dyDescent="0.35">
      <c r="A109" s="22">
        <f>'Assumptions &amp; Budget'!L61</f>
        <v>46388</v>
      </c>
      <c r="B109" s="10">
        <f>'Assumptions &amp; Budget'!L95</f>
        <v>0.11888881996277972</v>
      </c>
      <c r="C109" s="10">
        <f>'Rolling Forecast'!L40</f>
        <v>0.11911859727609764</v>
      </c>
    </row>
    <row r="110" spans="1:3" x14ac:dyDescent="0.35">
      <c r="A110" s="22">
        <f>'Assumptions &amp; Budget'!M61</f>
        <v>46419</v>
      </c>
      <c r="B110" s="10">
        <f>'Assumptions &amp; Budget'!M95</f>
        <v>0.1115260215389387</v>
      </c>
      <c r="C110" s="10">
        <f>'Rolling Forecast'!M40</f>
        <v>0.11168913318461253</v>
      </c>
    </row>
    <row r="111" spans="1:3" x14ac:dyDescent="0.35">
      <c r="A111" s="22">
        <f>'Assumptions &amp; Budget'!N61</f>
        <v>46447</v>
      </c>
      <c r="B111" s="10">
        <f>'Assumptions &amp; Budget'!N95</f>
        <v>0.11713152678515898</v>
      </c>
      <c r="C111" s="10">
        <f>'Rolling Forecast'!N40</f>
        <v>0.11737380005827693</v>
      </c>
    </row>
  </sheetData>
  <mergeCells count="10">
    <mergeCell ref="B4:C4"/>
    <mergeCell ref="D4:E4"/>
    <mergeCell ref="F4:G4"/>
    <mergeCell ref="H4:I4"/>
    <mergeCell ref="J4:K4"/>
    <mergeCell ref="B5:C5"/>
    <mergeCell ref="D5:E5"/>
    <mergeCell ref="F5:G5"/>
    <mergeCell ref="H5:I5"/>
    <mergeCell ref="J5:K5"/>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A1:AC71"/>
  <sheetViews>
    <sheetView zoomScaleNormal="100" workbookViewId="0">
      <selection activeCell="E13" sqref="E13"/>
    </sheetView>
  </sheetViews>
  <sheetFormatPr defaultColWidth="8.6328125" defaultRowHeight="14.5" x14ac:dyDescent="0.35"/>
  <cols>
    <col min="1" max="1" width="46" customWidth="1"/>
    <col min="2" max="2" width="11.453125" customWidth="1"/>
    <col min="3" max="26" width="9.54296875" customWidth="1"/>
    <col min="27" max="29" width="12" customWidth="1"/>
  </cols>
  <sheetData>
    <row r="1" spans="1:29" ht="18" x14ac:dyDescent="0.4">
      <c r="A1" s="23" t="s">
        <v>86</v>
      </c>
    </row>
    <row r="2" spans="1:29" x14ac:dyDescent="0.35">
      <c r="A2" s="6" t="s">
        <v>87</v>
      </c>
    </row>
    <row r="3" spans="1:29" x14ac:dyDescent="0.35">
      <c r="A3" s="6" t="s">
        <v>88</v>
      </c>
    </row>
    <row r="5" spans="1:29" ht="27.75" customHeight="1" x14ac:dyDescent="0.35">
      <c r="A5" s="17" t="s">
        <v>89</v>
      </c>
      <c r="B5" s="17" t="s">
        <v>90</v>
      </c>
      <c r="C5" s="24">
        <v>45383</v>
      </c>
      <c r="D5" s="24">
        <v>45413</v>
      </c>
      <c r="E5" s="24">
        <v>45444</v>
      </c>
      <c r="F5" s="24">
        <v>45474</v>
      </c>
      <c r="G5" s="24">
        <v>45505</v>
      </c>
      <c r="H5" s="24">
        <v>45536</v>
      </c>
      <c r="I5" s="24">
        <v>45566</v>
      </c>
      <c r="J5" s="24">
        <v>45597</v>
      </c>
      <c r="K5" s="24">
        <v>45627</v>
      </c>
      <c r="L5" s="24">
        <v>45658</v>
      </c>
      <c r="M5" s="24">
        <v>45689</v>
      </c>
      <c r="N5" s="24">
        <v>45717</v>
      </c>
      <c r="O5" s="24">
        <v>45748</v>
      </c>
      <c r="P5" s="24">
        <v>45778</v>
      </c>
      <c r="Q5" s="24">
        <v>45809</v>
      </c>
      <c r="R5" s="24">
        <v>45839</v>
      </c>
      <c r="S5" s="24">
        <v>45870</v>
      </c>
      <c r="T5" s="24">
        <v>45901</v>
      </c>
      <c r="U5" s="24">
        <v>45931</v>
      </c>
      <c r="V5" s="24">
        <v>45962</v>
      </c>
      <c r="W5" s="24">
        <v>45992</v>
      </c>
      <c r="X5" s="24">
        <v>46023</v>
      </c>
      <c r="Y5" s="24">
        <v>46054</v>
      </c>
      <c r="Z5" s="24">
        <v>46082</v>
      </c>
      <c r="AA5" s="17" t="s">
        <v>91</v>
      </c>
      <c r="AB5" s="17" t="s">
        <v>92</v>
      </c>
      <c r="AC5" s="17" t="s">
        <v>93</v>
      </c>
    </row>
    <row r="6" spans="1:29" x14ac:dyDescent="0.35">
      <c r="A6" s="6" t="s">
        <v>94</v>
      </c>
      <c r="C6" s="25" t="str">
        <f t="shared" ref="C6:Z6" si="0">IF(MONTH(C5)&gt;=4,"FY"&amp;TEXT(MOD(YEAR(C5)+1,100),"00"),"FY"&amp;TEXT(MOD(YEAR(C5),100),"00"))</f>
        <v>FY25</v>
      </c>
      <c r="D6" s="25" t="str">
        <f t="shared" si="0"/>
        <v>FY25</v>
      </c>
      <c r="E6" s="25" t="str">
        <f t="shared" si="0"/>
        <v>FY25</v>
      </c>
      <c r="F6" s="25" t="str">
        <f t="shared" si="0"/>
        <v>FY25</v>
      </c>
      <c r="G6" s="25" t="str">
        <f t="shared" si="0"/>
        <v>FY25</v>
      </c>
      <c r="H6" s="25" t="str">
        <f t="shared" si="0"/>
        <v>FY25</v>
      </c>
      <c r="I6" s="25" t="str">
        <f t="shared" si="0"/>
        <v>FY25</v>
      </c>
      <c r="J6" s="25" t="str">
        <f t="shared" si="0"/>
        <v>FY25</v>
      </c>
      <c r="K6" s="25" t="str">
        <f t="shared" si="0"/>
        <v>FY25</v>
      </c>
      <c r="L6" s="25" t="str">
        <f t="shared" si="0"/>
        <v>FY25</v>
      </c>
      <c r="M6" s="25" t="str">
        <f t="shared" si="0"/>
        <v>FY25</v>
      </c>
      <c r="N6" s="25" t="str">
        <f t="shared" si="0"/>
        <v>FY25</v>
      </c>
      <c r="O6" s="25" t="str">
        <f t="shared" si="0"/>
        <v>FY26</v>
      </c>
      <c r="P6" s="25" t="str">
        <f t="shared" si="0"/>
        <v>FY26</v>
      </c>
      <c r="Q6" s="25" t="str">
        <f t="shared" si="0"/>
        <v>FY26</v>
      </c>
      <c r="R6" s="25" t="str">
        <f t="shared" si="0"/>
        <v>FY26</v>
      </c>
      <c r="S6" s="25" t="str">
        <f t="shared" si="0"/>
        <v>FY26</v>
      </c>
      <c r="T6" s="25" t="str">
        <f t="shared" si="0"/>
        <v>FY26</v>
      </c>
      <c r="U6" s="25" t="str">
        <f t="shared" si="0"/>
        <v>FY26</v>
      </c>
      <c r="V6" s="25" t="str">
        <f t="shared" si="0"/>
        <v>FY26</v>
      </c>
      <c r="W6" s="25" t="str">
        <f t="shared" si="0"/>
        <v>FY26</v>
      </c>
      <c r="X6" s="25" t="str">
        <f t="shared" si="0"/>
        <v>FY26</v>
      </c>
      <c r="Y6" s="25" t="str">
        <f t="shared" si="0"/>
        <v>FY26</v>
      </c>
      <c r="Z6" s="25" t="str">
        <f t="shared" si="0"/>
        <v>FY26</v>
      </c>
    </row>
    <row r="7" spans="1:29" x14ac:dyDescent="0.35">
      <c r="A7" s="7" t="s">
        <v>95</v>
      </c>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35">
      <c r="A8" s="5" t="s">
        <v>96</v>
      </c>
      <c r="B8" s="6" t="s">
        <v>97</v>
      </c>
      <c r="C8" s="26">
        <v>0.95</v>
      </c>
      <c r="D8" s="26">
        <v>0.95</v>
      </c>
      <c r="E8" s="26">
        <v>0.92</v>
      </c>
      <c r="F8" s="26">
        <v>0.9</v>
      </c>
      <c r="G8" s="26">
        <v>0.95</v>
      </c>
      <c r="H8" s="26">
        <v>1</v>
      </c>
      <c r="I8" s="26">
        <v>1.2</v>
      </c>
      <c r="J8" s="26">
        <v>1.1499999999999999</v>
      </c>
      <c r="K8" s="26">
        <v>1.05</v>
      </c>
      <c r="L8" s="26">
        <v>1</v>
      </c>
      <c r="M8" s="26">
        <v>0.95</v>
      </c>
      <c r="N8" s="26">
        <v>0.98</v>
      </c>
      <c r="O8" s="26">
        <v>0.95</v>
      </c>
      <c r="P8" s="26">
        <v>0.95</v>
      </c>
      <c r="Q8" s="26">
        <v>0.92</v>
      </c>
      <c r="R8" s="26">
        <v>0.9</v>
      </c>
      <c r="S8" s="26">
        <v>0.95</v>
      </c>
      <c r="T8" s="26">
        <v>1</v>
      </c>
      <c r="U8" s="26">
        <v>1.2</v>
      </c>
      <c r="V8" s="26">
        <v>1.1499999999999999</v>
      </c>
      <c r="W8" s="26">
        <v>1.05</v>
      </c>
      <c r="X8" s="26">
        <v>1</v>
      </c>
      <c r="Y8" s="26">
        <v>0.95</v>
      </c>
      <c r="Z8" s="26">
        <v>0.98</v>
      </c>
      <c r="AA8" s="27">
        <f>SUMIF($C$6:$Z$6,AA$5,$C8:$Z8)</f>
        <v>12</v>
      </c>
      <c r="AB8" s="27">
        <f>SUMIF($C$6:$Z$6,AB$5,$C8:$Z8)</f>
        <v>12</v>
      </c>
    </row>
    <row r="9" spans="1:29" x14ac:dyDescent="0.35">
      <c r="A9" s="5" t="s">
        <v>98</v>
      </c>
      <c r="B9" s="6" t="s">
        <v>99</v>
      </c>
      <c r="C9" s="28">
        <v>384145</v>
      </c>
      <c r="D9" s="28">
        <v>378011</v>
      </c>
      <c r="E9" s="28">
        <v>383658</v>
      </c>
      <c r="F9" s="28">
        <v>380891</v>
      </c>
      <c r="G9" s="28">
        <v>383424</v>
      </c>
      <c r="H9" s="28">
        <v>413579</v>
      </c>
      <c r="I9" s="28">
        <v>516519</v>
      </c>
      <c r="J9" s="28">
        <v>496039</v>
      </c>
      <c r="K9" s="28">
        <v>460674</v>
      </c>
      <c r="L9" s="28">
        <v>436168</v>
      </c>
      <c r="M9" s="28">
        <v>433711</v>
      </c>
      <c r="N9" s="28">
        <v>451452</v>
      </c>
      <c r="O9" s="28">
        <v>436271</v>
      </c>
      <c r="P9" s="28">
        <v>450446</v>
      </c>
      <c r="Q9" s="28">
        <v>435355</v>
      </c>
      <c r="R9" s="28">
        <v>419281</v>
      </c>
      <c r="S9" s="28">
        <v>458652</v>
      </c>
      <c r="T9" s="28">
        <v>475265</v>
      </c>
      <c r="U9" s="28">
        <v>598230</v>
      </c>
      <c r="V9" s="28">
        <v>569068</v>
      </c>
      <c r="W9" s="28">
        <v>523911</v>
      </c>
      <c r="X9" s="28">
        <v>499458</v>
      </c>
      <c r="Y9" s="28">
        <v>498249</v>
      </c>
      <c r="Z9" s="28">
        <v>505697</v>
      </c>
      <c r="AA9" s="29">
        <f>SUMIF($C$6:$Z$6,AA$5,$C9:$Z9)</f>
        <v>5118271</v>
      </c>
      <c r="AB9" s="29">
        <f>SUMIF($C$6:$Z$6,AB$5,$C9:$Z9)</f>
        <v>5869883</v>
      </c>
      <c r="AC9" s="30">
        <f>IF(AA9=0,"",AB9/AA9-1)</f>
        <v>0.14684880890441332</v>
      </c>
    </row>
    <row r="10" spans="1:29" x14ac:dyDescent="0.35">
      <c r="A10" s="5" t="s">
        <v>100</v>
      </c>
      <c r="B10" s="6" t="s">
        <v>101</v>
      </c>
      <c r="C10" s="31">
        <v>637.79999999999995</v>
      </c>
      <c r="D10" s="31">
        <v>640.4</v>
      </c>
      <c r="E10" s="31">
        <v>647.20000000000005</v>
      </c>
      <c r="F10" s="31">
        <v>648.6</v>
      </c>
      <c r="G10" s="31">
        <v>651.20000000000005</v>
      </c>
      <c r="H10" s="31">
        <v>653.5</v>
      </c>
      <c r="I10" s="31">
        <v>663.4</v>
      </c>
      <c r="J10" s="31">
        <v>653.70000000000005</v>
      </c>
      <c r="K10" s="31">
        <v>655.4</v>
      </c>
      <c r="L10" s="31">
        <v>656.1</v>
      </c>
      <c r="M10" s="31">
        <v>666</v>
      </c>
      <c r="N10" s="31">
        <v>671.1</v>
      </c>
      <c r="O10" s="31">
        <v>666.8</v>
      </c>
      <c r="P10" s="31">
        <v>665.2</v>
      </c>
      <c r="Q10" s="31">
        <v>667.7</v>
      </c>
      <c r="R10" s="31">
        <v>677.9</v>
      </c>
      <c r="S10" s="31">
        <v>680.8</v>
      </c>
      <c r="T10" s="31">
        <v>682.1</v>
      </c>
      <c r="U10" s="31">
        <v>677.9</v>
      </c>
      <c r="V10" s="31">
        <v>685.2</v>
      </c>
      <c r="W10" s="31">
        <v>687</v>
      </c>
      <c r="X10" s="31">
        <v>689.9</v>
      </c>
      <c r="Y10" s="31">
        <v>696</v>
      </c>
      <c r="Z10" s="31">
        <v>694.8</v>
      </c>
      <c r="AA10" s="9">
        <f>IF(AA9=0,0,AA12*100000/AA9)</f>
        <v>654.36761699409817</v>
      </c>
      <c r="AB10" s="9">
        <f>IF(AB9=0,0,AB12*100000/AB9)</f>
        <v>681.44388310635838</v>
      </c>
    </row>
    <row r="11" spans="1:29" x14ac:dyDescent="0.35">
      <c r="A11" s="7" t="s">
        <v>102</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35">
      <c r="A12" s="32" t="s">
        <v>103</v>
      </c>
      <c r="B12" s="33" t="s">
        <v>104</v>
      </c>
      <c r="C12" s="34">
        <f t="shared" ref="C12:Z12" si="1">C9*C10/100000</f>
        <v>2450.0768099999996</v>
      </c>
      <c r="D12" s="34">
        <f t="shared" si="1"/>
        <v>2420.7824439999999</v>
      </c>
      <c r="E12" s="34">
        <f t="shared" si="1"/>
        <v>2483.034576</v>
      </c>
      <c r="F12" s="34">
        <f t="shared" si="1"/>
        <v>2470.459026</v>
      </c>
      <c r="G12" s="34">
        <f t="shared" si="1"/>
        <v>2496.8570880000002</v>
      </c>
      <c r="H12" s="34">
        <f t="shared" si="1"/>
        <v>2702.7387650000001</v>
      </c>
      <c r="I12" s="34">
        <f t="shared" si="1"/>
        <v>3426.5870459999996</v>
      </c>
      <c r="J12" s="34">
        <f t="shared" si="1"/>
        <v>3242.6069430000002</v>
      </c>
      <c r="K12" s="34">
        <f t="shared" si="1"/>
        <v>3019.2573959999995</v>
      </c>
      <c r="L12" s="34">
        <f t="shared" si="1"/>
        <v>2861.6982480000001</v>
      </c>
      <c r="M12" s="34">
        <f t="shared" si="1"/>
        <v>2888.5152600000001</v>
      </c>
      <c r="N12" s="34">
        <f t="shared" si="1"/>
        <v>3029.6943719999999</v>
      </c>
      <c r="O12" s="34">
        <f t="shared" si="1"/>
        <v>2909.0550279999993</v>
      </c>
      <c r="P12" s="34">
        <f t="shared" si="1"/>
        <v>2996.3667920000003</v>
      </c>
      <c r="Q12" s="34">
        <f t="shared" si="1"/>
        <v>2906.865335</v>
      </c>
      <c r="R12" s="34">
        <f t="shared" si="1"/>
        <v>2842.305899</v>
      </c>
      <c r="S12" s="34">
        <f t="shared" si="1"/>
        <v>3122.5028159999997</v>
      </c>
      <c r="T12" s="34">
        <f t="shared" si="1"/>
        <v>3241.782565</v>
      </c>
      <c r="U12" s="34">
        <f t="shared" si="1"/>
        <v>4055.4011700000001</v>
      </c>
      <c r="V12" s="34">
        <f t="shared" si="1"/>
        <v>3899.2539360000001</v>
      </c>
      <c r="W12" s="34">
        <f t="shared" si="1"/>
        <v>3599.2685700000002</v>
      </c>
      <c r="X12" s="34">
        <f t="shared" si="1"/>
        <v>3445.7607419999999</v>
      </c>
      <c r="Y12" s="34">
        <f t="shared" si="1"/>
        <v>3467.81304</v>
      </c>
      <c r="Z12" s="34">
        <f t="shared" si="1"/>
        <v>3513.5827559999998</v>
      </c>
      <c r="AA12" s="34">
        <f>SUMIF($C$6:$Z$6,AA$5,$C12:$Z12)</f>
        <v>33492.307974000003</v>
      </c>
      <c r="AB12" s="34">
        <f>SUMIF($C$6:$Z$6,AB$5,$C12:$Z12)</f>
        <v>39999.958649000007</v>
      </c>
      <c r="AC12" s="35">
        <f>IF(AA12=0,"",AB12/AA12-1)</f>
        <v>0.19430284350818328</v>
      </c>
    </row>
    <row r="13" spans="1:29" x14ac:dyDescent="0.35">
      <c r="A13" s="5" t="s">
        <v>105</v>
      </c>
      <c r="B13" s="6" t="s">
        <v>104</v>
      </c>
      <c r="C13" s="36">
        <v>822.7</v>
      </c>
      <c r="D13" s="36">
        <v>816.3</v>
      </c>
      <c r="E13" s="36">
        <v>830.4</v>
      </c>
      <c r="F13" s="36">
        <v>817.8</v>
      </c>
      <c r="G13" s="36">
        <v>848.5</v>
      </c>
      <c r="H13" s="36">
        <v>898.6</v>
      </c>
      <c r="I13" s="36">
        <v>1136.0999999999999</v>
      </c>
      <c r="J13" s="36">
        <v>1072.4000000000001</v>
      </c>
      <c r="K13" s="36">
        <v>988</v>
      </c>
      <c r="L13" s="36">
        <v>906.4</v>
      </c>
      <c r="M13" s="36">
        <v>944.1</v>
      </c>
      <c r="N13" s="36">
        <v>957.4</v>
      </c>
      <c r="O13" s="36">
        <v>953</v>
      </c>
      <c r="P13" s="36">
        <v>956.5</v>
      </c>
      <c r="Q13" s="36">
        <v>915.8</v>
      </c>
      <c r="R13" s="36">
        <v>884.7</v>
      </c>
      <c r="S13" s="36">
        <v>964.8</v>
      </c>
      <c r="T13" s="36">
        <v>994.9</v>
      </c>
      <c r="U13" s="36">
        <v>1261</v>
      </c>
      <c r="V13" s="36">
        <v>1208.0999999999999</v>
      </c>
      <c r="W13" s="36">
        <v>1085.4000000000001</v>
      </c>
      <c r="X13" s="36">
        <v>1051.5</v>
      </c>
      <c r="Y13" s="36">
        <v>1071.2</v>
      </c>
      <c r="Z13" s="36">
        <v>1077</v>
      </c>
      <c r="AA13" s="19">
        <f>SUMIF($C$6:$Z$6,AA$5,$C13:$Z13)</f>
        <v>11038.699999999999</v>
      </c>
      <c r="AB13" s="19">
        <f>SUMIF($C$6:$Z$6,AB$5,$C13:$Z13)</f>
        <v>12423.9</v>
      </c>
      <c r="AC13" s="30">
        <f>IF(AA13=0,"",AB13/AA13-1)</f>
        <v>0.12548579089929079</v>
      </c>
    </row>
    <row r="14" spans="1:29" x14ac:dyDescent="0.35">
      <c r="A14" s="32" t="s">
        <v>106</v>
      </c>
      <c r="B14" s="33" t="s">
        <v>104</v>
      </c>
      <c r="C14" s="34">
        <f t="shared" ref="C14:AB14" si="2">C12-C13</f>
        <v>1627.3768099999995</v>
      </c>
      <c r="D14" s="34">
        <f t="shared" si="2"/>
        <v>1604.482444</v>
      </c>
      <c r="E14" s="34">
        <f t="shared" si="2"/>
        <v>1652.6345759999999</v>
      </c>
      <c r="F14" s="34">
        <f t="shared" si="2"/>
        <v>1652.659026</v>
      </c>
      <c r="G14" s="34">
        <f t="shared" si="2"/>
        <v>1648.3570880000002</v>
      </c>
      <c r="H14" s="34">
        <f t="shared" si="2"/>
        <v>1804.1387650000001</v>
      </c>
      <c r="I14" s="34">
        <f t="shared" si="2"/>
        <v>2290.4870459999997</v>
      </c>
      <c r="J14" s="34">
        <f t="shared" si="2"/>
        <v>2170.2069430000001</v>
      </c>
      <c r="K14" s="34">
        <f t="shared" si="2"/>
        <v>2031.2573959999995</v>
      </c>
      <c r="L14" s="34">
        <f t="shared" si="2"/>
        <v>1955.2982480000001</v>
      </c>
      <c r="M14" s="34">
        <f t="shared" si="2"/>
        <v>1944.4152600000002</v>
      </c>
      <c r="N14" s="34">
        <f t="shared" si="2"/>
        <v>2072.2943719999998</v>
      </c>
      <c r="O14" s="34">
        <f t="shared" si="2"/>
        <v>1956.0550279999993</v>
      </c>
      <c r="P14" s="34">
        <f t="shared" si="2"/>
        <v>2039.8667920000003</v>
      </c>
      <c r="Q14" s="34">
        <f t="shared" si="2"/>
        <v>1991.065335</v>
      </c>
      <c r="R14" s="34">
        <f t="shared" si="2"/>
        <v>1957.6058989999999</v>
      </c>
      <c r="S14" s="34">
        <f t="shared" si="2"/>
        <v>2157.702816</v>
      </c>
      <c r="T14" s="34">
        <f t="shared" si="2"/>
        <v>2246.8825649999999</v>
      </c>
      <c r="U14" s="34">
        <f t="shared" si="2"/>
        <v>2794.4011700000001</v>
      </c>
      <c r="V14" s="34">
        <f t="shared" si="2"/>
        <v>2691.1539360000002</v>
      </c>
      <c r="W14" s="34">
        <f t="shared" si="2"/>
        <v>2513.8685700000001</v>
      </c>
      <c r="X14" s="34">
        <f t="shared" si="2"/>
        <v>2394.2607419999999</v>
      </c>
      <c r="Y14" s="34">
        <f t="shared" si="2"/>
        <v>2396.6130400000002</v>
      </c>
      <c r="Z14" s="34">
        <f t="shared" si="2"/>
        <v>2436.5827559999998</v>
      </c>
      <c r="AA14" s="34">
        <f t="shared" si="2"/>
        <v>22453.607974000006</v>
      </c>
      <c r="AB14" s="34">
        <f t="shared" si="2"/>
        <v>27576.058649000006</v>
      </c>
      <c r="AC14" s="35">
        <f>IF(AA14=0,"",AB14/AA14-1)</f>
        <v>0.2281348583680407</v>
      </c>
    </row>
    <row r="15" spans="1:29" x14ac:dyDescent="0.35">
      <c r="A15" s="5" t="s">
        <v>107</v>
      </c>
      <c r="B15" s="6" t="s">
        <v>108</v>
      </c>
      <c r="C15" s="37">
        <f t="shared" ref="C15:AB15" si="3">IF(C12=0,0,C14/C12)</f>
        <v>0.66421460884730377</v>
      </c>
      <c r="D15" s="37">
        <f t="shared" si="3"/>
        <v>0.66279497687897149</v>
      </c>
      <c r="E15" s="37">
        <f t="shared" si="3"/>
        <v>0.66557050472582702</v>
      </c>
      <c r="F15" s="37">
        <f t="shared" si="3"/>
        <v>0.66896840166415295</v>
      </c>
      <c r="G15" s="37">
        <f t="shared" si="3"/>
        <v>0.66017278118242062</v>
      </c>
      <c r="H15" s="37">
        <f t="shared" si="3"/>
        <v>0.66752243626475682</v>
      </c>
      <c r="I15" s="37">
        <f t="shared" si="3"/>
        <v>0.6684456035266293</v>
      </c>
      <c r="J15" s="37">
        <f t="shared" si="3"/>
        <v>0.66927844822048166</v>
      </c>
      <c r="K15" s="37">
        <f t="shared" si="3"/>
        <v>0.67276721709486209</v>
      </c>
      <c r="L15" s="37">
        <f t="shared" si="3"/>
        <v>0.68326499810611752</v>
      </c>
      <c r="M15" s="37">
        <f t="shared" si="3"/>
        <v>0.67315388183201086</v>
      </c>
      <c r="N15" s="37">
        <f t="shared" si="3"/>
        <v>0.68399452801307181</v>
      </c>
      <c r="O15" s="37">
        <f t="shared" si="3"/>
        <v>0.67240220936790052</v>
      </c>
      <c r="P15" s="37">
        <f t="shared" si="3"/>
        <v>0.68078006919788348</v>
      </c>
      <c r="Q15" s="37">
        <f t="shared" si="3"/>
        <v>0.68495272588883105</v>
      </c>
      <c r="R15" s="37">
        <f t="shared" si="3"/>
        <v>0.68873863987994344</v>
      </c>
      <c r="S15" s="37">
        <f t="shared" si="3"/>
        <v>0.69101709210436146</v>
      </c>
      <c r="T15" s="37">
        <f t="shared" si="3"/>
        <v>0.69310094676260314</v>
      </c>
      <c r="U15" s="37">
        <f t="shared" si="3"/>
        <v>0.68905665626170343</v>
      </c>
      <c r="V15" s="37">
        <f t="shared" si="3"/>
        <v>0.69017149951528578</v>
      </c>
      <c r="W15" s="37">
        <f t="shared" si="3"/>
        <v>0.69843873028902648</v>
      </c>
      <c r="X15" s="37">
        <f t="shared" si="3"/>
        <v>0.69484242269540608</v>
      </c>
      <c r="Y15" s="37">
        <f t="shared" si="3"/>
        <v>0.69110214776745871</v>
      </c>
      <c r="Z15" s="37">
        <f t="shared" si="3"/>
        <v>0.69347527159824207</v>
      </c>
      <c r="AA15" s="37">
        <f t="shared" si="3"/>
        <v>0.67041088931317261</v>
      </c>
      <c r="AB15" s="37">
        <f t="shared" si="3"/>
        <v>0.6894021789117375</v>
      </c>
      <c r="AC15" s="30">
        <f>AB15-AA15</f>
        <v>1.8991289598564887E-2</v>
      </c>
    </row>
    <row r="16" spans="1:29" x14ac:dyDescent="0.35">
      <c r="A16" s="7" t="s">
        <v>109</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35">
      <c r="A17" s="5" t="s">
        <v>110</v>
      </c>
      <c r="B17" s="6" t="s">
        <v>104</v>
      </c>
      <c r="C17" s="36">
        <v>50.5</v>
      </c>
      <c r="D17" s="36">
        <v>50.6</v>
      </c>
      <c r="E17" s="36">
        <v>51.5</v>
      </c>
      <c r="F17" s="36">
        <v>51.8</v>
      </c>
      <c r="G17" s="36">
        <v>53.6</v>
      </c>
      <c r="H17" s="36">
        <v>51.1</v>
      </c>
      <c r="I17" s="36">
        <v>53.5</v>
      </c>
      <c r="J17" s="36">
        <v>53.8</v>
      </c>
      <c r="K17" s="36">
        <v>53.9</v>
      </c>
      <c r="L17" s="36">
        <v>54.5</v>
      </c>
      <c r="M17" s="36">
        <v>53.6</v>
      </c>
      <c r="N17" s="36">
        <v>55.9</v>
      </c>
      <c r="O17" s="36">
        <v>60.9</v>
      </c>
      <c r="P17" s="36">
        <v>59.6</v>
      </c>
      <c r="Q17" s="36">
        <v>61.3</v>
      </c>
      <c r="R17" s="36">
        <v>61.6</v>
      </c>
      <c r="S17" s="36">
        <v>61.8</v>
      </c>
      <c r="T17" s="36">
        <v>61</v>
      </c>
      <c r="U17" s="36">
        <v>62.6</v>
      </c>
      <c r="V17" s="36">
        <v>63.9</v>
      </c>
      <c r="W17" s="36">
        <v>64.400000000000006</v>
      </c>
      <c r="X17" s="36">
        <v>65.3</v>
      </c>
      <c r="Y17" s="36">
        <v>66</v>
      </c>
      <c r="Z17" s="36">
        <v>65.400000000000006</v>
      </c>
      <c r="AA17" s="19">
        <f>SUMIF($C$6:$Z$6,AA$5,$C17:$Z17)</f>
        <v>634.29999999999995</v>
      </c>
      <c r="AB17" s="19">
        <f>SUMIF($C$6:$Z$6,AB$5,$C17:$Z17)</f>
        <v>753.8</v>
      </c>
      <c r="AC17" s="30">
        <f t="shared" ref="AC17:AC36" si="4">IF(AA17=0,"",AB17/AA17-1)</f>
        <v>0.1883966577329339</v>
      </c>
    </row>
    <row r="18" spans="1:29" x14ac:dyDescent="0.35">
      <c r="A18" s="5" t="s">
        <v>111</v>
      </c>
      <c r="B18" s="6" t="s">
        <v>104</v>
      </c>
      <c r="C18" s="36">
        <v>70.8</v>
      </c>
      <c r="D18" s="36">
        <v>74.099999999999994</v>
      </c>
      <c r="E18" s="36">
        <v>74.900000000000006</v>
      </c>
      <c r="F18" s="36">
        <v>76.2</v>
      </c>
      <c r="G18" s="36">
        <v>73.599999999999994</v>
      </c>
      <c r="H18" s="36">
        <v>81.599999999999994</v>
      </c>
      <c r="I18" s="36">
        <v>105.4</v>
      </c>
      <c r="J18" s="36">
        <v>96.1</v>
      </c>
      <c r="K18" s="36">
        <v>92.2</v>
      </c>
      <c r="L18" s="36">
        <v>83.6</v>
      </c>
      <c r="M18" s="36">
        <v>85.4</v>
      </c>
      <c r="N18" s="36">
        <v>89.5</v>
      </c>
      <c r="O18" s="36">
        <v>83.1</v>
      </c>
      <c r="P18" s="36">
        <v>91.6</v>
      </c>
      <c r="Q18" s="36">
        <v>85.6</v>
      </c>
      <c r="R18" s="36">
        <v>85.3</v>
      </c>
      <c r="S18" s="36">
        <v>95.5</v>
      </c>
      <c r="T18" s="36">
        <v>99</v>
      </c>
      <c r="U18" s="36">
        <v>124.9</v>
      </c>
      <c r="V18" s="36">
        <v>116.5</v>
      </c>
      <c r="W18" s="36">
        <v>106.1</v>
      </c>
      <c r="X18" s="36">
        <v>103</v>
      </c>
      <c r="Y18" s="36">
        <v>97</v>
      </c>
      <c r="Z18" s="36">
        <v>99.3</v>
      </c>
      <c r="AA18" s="19">
        <f>SUMIF($C$6:$Z$6,AA$5,$C18:$Z18)</f>
        <v>1003.4000000000001</v>
      </c>
      <c r="AB18" s="19">
        <f>SUMIF($C$6:$Z$6,AB$5,$C18:$Z18)</f>
        <v>1186.8999999999999</v>
      </c>
      <c r="AC18" s="30">
        <f t="shared" si="4"/>
        <v>0.18287821407215432</v>
      </c>
    </row>
    <row r="19" spans="1:29" x14ac:dyDescent="0.35">
      <c r="A19" s="32" t="s">
        <v>112</v>
      </c>
      <c r="B19" s="33" t="s">
        <v>104</v>
      </c>
      <c r="C19" s="34">
        <f t="shared" ref="C19:AB19" si="5">C17+C18</f>
        <v>121.3</v>
      </c>
      <c r="D19" s="34">
        <f t="shared" si="5"/>
        <v>124.69999999999999</v>
      </c>
      <c r="E19" s="34">
        <f t="shared" si="5"/>
        <v>126.4</v>
      </c>
      <c r="F19" s="34">
        <f t="shared" si="5"/>
        <v>128</v>
      </c>
      <c r="G19" s="34">
        <f t="shared" si="5"/>
        <v>127.19999999999999</v>
      </c>
      <c r="H19" s="34">
        <f t="shared" si="5"/>
        <v>132.69999999999999</v>
      </c>
      <c r="I19" s="34">
        <f t="shared" si="5"/>
        <v>158.9</v>
      </c>
      <c r="J19" s="34">
        <f t="shared" si="5"/>
        <v>149.89999999999998</v>
      </c>
      <c r="K19" s="34">
        <f t="shared" si="5"/>
        <v>146.1</v>
      </c>
      <c r="L19" s="34">
        <f t="shared" si="5"/>
        <v>138.1</v>
      </c>
      <c r="M19" s="34">
        <f t="shared" si="5"/>
        <v>139</v>
      </c>
      <c r="N19" s="34">
        <f t="shared" si="5"/>
        <v>145.4</v>
      </c>
      <c r="O19" s="34">
        <f t="shared" si="5"/>
        <v>144</v>
      </c>
      <c r="P19" s="34">
        <f t="shared" si="5"/>
        <v>151.19999999999999</v>
      </c>
      <c r="Q19" s="34">
        <f t="shared" si="5"/>
        <v>146.89999999999998</v>
      </c>
      <c r="R19" s="34">
        <f t="shared" si="5"/>
        <v>146.9</v>
      </c>
      <c r="S19" s="34">
        <f t="shared" si="5"/>
        <v>157.30000000000001</v>
      </c>
      <c r="T19" s="34">
        <f t="shared" si="5"/>
        <v>160</v>
      </c>
      <c r="U19" s="34">
        <f t="shared" si="5"/>
        <v>187.5</v>
      </c>
      <c r="V19" s="34">
        <f t="shared" si="5"/>
        <v>180.4</v>
      </c>
      <c r="W19" s="34">
        <f t="shared" si="5"/>
        <v>170.5</v>
      </c>
      <c r="X19" s="34">
        <f t="shared" si="5"/>
        <v>168.3</v>
      </c>
      <c r="Y19" s="34">
        <f t="shared" si="5"/>
        <v>163</v>
      </c>
      <c r="Z19" s="34">
        <f t="shared" si="5"/>
        <v>164.7</v>
      </c>
      <c r="AA19" s="34">
        <f t="shared" si="5"/>
        <v>1637.7</v>
      </c>
      <c r="AB19" s="34">
        <f t="shared" si="5"/>
        <v>1940.6999999999998</v>
      </c>
      <c r="AC19" s="35">
        <f t="shared" si="4"/>
        <v>0.18501557061732909</v>
      </c>
    </row>
    <row r="20" spans="1:29" x14ac:dyDescent="0.35">
      <c r="A20" s="5" t="s">
        <v>113</v>
      </c>
      <c r="B20" s="6" t="s">
        <v>104</v>
      </c>
      <c r="C20" s="36">
        <v>79.2</v>
      </c>
      <c r="D20" s="36">
        <v>78.599999999999994</v>
      </c>
      <c r="E20" s="36">
        <v>79.5</v>
      </c>
      <c r="F20" s="36">
        <v>78.5</v>
      </c>
      <c r="G20" s="36">
        <v>79.400000000000006</v>
      </c>
      <c r="H20" s="36">
        <v>79.3</v>
      </c>
      <c r="I20" s="36">
        <v>81.5</v>
      </c>
      <c r="J20" s="36">
        <v>79.400000000000006</v>
      </c>
      <c r="K20" s="36">
        <v>81.900000000000006</v>
      </c>
      <c r="L20" s="36">
        <v>81.5</v>
      </c>
      <c r="M20" s="36">
        <v>83.4</v>
      </c>
      <c r="N20" s="36">
        <v>83.6</v>
      </c>
      <c r="O20" s="36">
        <v>90.6</v>
      </c>
      <c r="P20" s="36">
        <v>90.1</v>
      </c>
      <c r="Q20" s="36">
        <v>88.2</v>
      </c>
      <c r="R20" s="36">
        <v>90.5</v>
      </c>
      <c r="S20" s="36">
        <v>89.9</v>
      </c>
      <c r="T20" s="36">
        <v>90.6</v>
      </c>
      <c r="U20" s="36">
        <v>93.5</v>
      </c>
      <c r="V20" s="36">
        <v>93.1</v>
      </c>
      <c r="W20" s="36">
        <v>92.3</v>
      </c>
      <c r="X20" s="36">
        <v>91.9</v>
      </c>
      <c r="Y20" s="36">
        <v>93.7</v>
      </c>
      <c r="Z20" s="36">
        <v>92.9</v>
      </c>
      <c r="AA20" s="19">
        <f t="shared" ref="AA20:AB22" si="6">SUMIF($C$6:$Z$6,AA$5,$C20:$Z20)</f>
        <v>965.8</v>
      </c>
      <c r="AB20" s="19">
        <f t="shared" si="6"/>
        <v>1097.3</v>
      </c>
      <c r="AC20" s="30">
        <f t="shared" si="4"/>
        <v>0.13615655415199845</v>
      </c>
    </row>
    <row r="21" spans="1:29" x14ac:dyDescent="0.35">
      <c r="A21" s="5" t="s">
        <v>114</v>
      </c>
      <c r="B21" s="6" t="s">
        <v>104</v>
      </c>
      <c r="C21" s="36">
        <v>173.2</v>
      </c>
      <c r="D21" s="36">
        <v>171.5</v>
      </c>
      <c r="E21" s="36">
        <v>178.1</v>
      </c>
      <c r="F21" s="36">
        <v>173.6</v>
      </c>
      <c r="G21" s="36">
        <v>176.4</v>
      </c>
      <c r="H21" s="36">
        <v>195.4</v>
      </c>
      <c r="I21" s="36">
        <v>238.5</v>
      </c>
      <c r="J21" s="36">
        <v>233.1</v>
      </c>
      <c r="K21" s="36">
        <v>211.5</v>
      </c>
      <c r="L21" s="36">
        <v>220.1</v>
      </c>
      <c r="M21" s="36">
        <v>216.7</v>
      </c>
      <c r="N21" s="36">
        <v>228</v>
      </c>
      <c r="O21" s="36">
        <v>224.6</v>
      </c>
      <c r="P21" s="36">
        <v>223.4</v>
      </c>
      <c r="Q21" s="36">
        <v>223.4</v>
      </c>
      <c r="R21" s="36">
        <v>214.8</v>
      </c>
      <c r="S21" s="36">
        <v>232.4</v>
      </c>
      <c r="T21" s="36">
        <v>238</v>
      </c>
      <c r="U21" s="36">
        <v>307</v>
      </c>
      <c r="V21" s="36">
        <v>289.8</v>
      </c>
      <c r="W21" s="36">
        <v>270.2</v>
      </c>
      <c r="X21" s="36">
        <v>257.2</v>
      </c>
      <c r="Y21" s="36">
        <v>263</v>
      </c>
      <c r="Z21" s="36">
        <v>260.10000000000002</v>
      </c>
      <c r="AA21" s="19">
        <f t="shared" si="6"/>
        <v>2416.1</v>
      </c>
      <c r="AB21" s="19">
        <f t="shared" si="6"/>
        <v>3003.8999999999996</v>
      </c>
      <c r="AC21" s="30">
        <f t="shared" si="4"/>
        <v>0.24328463225859842</v>
      </c>
    </row>
    <row r="22" spans="1:29" x14ac:dyDescent="0.35">
      <c r="A22" s="5" t="s">
        <v>115</v>
      </c>
      <c r="B22" s="6" t="s">
        <v>104</v>
      </c>
      <c r="C22" s="36">
        <v>26.9</v>
      </c>
      <c r="D22" s="36">
        <v>28.4</v>
      </c>
      <c r="E22" s="36">
        <v>28.7</v>
      </c>
      <c r="F22" s="36">
        <v>30.2</v>
      </c>
      <c r="G22" s="36">
        <v>29.9</v>
      </c>
      <c r="H22" s="36">
        <v>29.6</v>
      </c>
      <c r="I22" s="36">
        <v>31.1</v>
      </c>
      <c r="J22" s="36">
        <v>28.2</v>
      </c>
      <c r="K22" s="36">
        <v>29.1</v>
      </c>
      <c r="L22" s="36">
        <v>119</v>
      </c>
      <c r="M22" s="36">
        <v>29.8</v>
      </c>
      <c r="N22" s="36">
        <v>28.9</v>
      </c>
      <c r="O22" s="36">
        <v>31.6</v>
      </c>
      <c r="P22" s="36">
        <v>30.8</v>
      </c>
      <c r="Q22" s="36">
        <v>29.5</v>
      </c>
      <c r="R22" s="36">
        <v>30.3</v>
      </c>
      <c r="S22" s="36">
        <v>32.200000000000003</v>
      </c>
      <c r="T22" s="36">
        <v>33.1</v>
      </c>
      <c r="U22" s="36">
        <v>34.9</v>
      </c>
      <c r="V22" s="36">
        <v>36.4</v>
      </c>
      <c r="W22" s="36">
        <v>33.4</v>
      </c>
      <c r="X22" s="36">
        <v>31.8</v>
      </c>
      <c r="Y22" s="36">
        <v>30.5</v>
      </c>
      <c r="Z22" s="36">
        <v>34</v>
      </c>
      <c r="AA22" s="19">
        <f t="shared" si="6"/>
        <v>439.79999999999995</v>
      </c>
      <c r="AB22" s="19">
        <f t="shared" si="6"/>
        <v>388.5</v>
      </c>
      <c r="AC22" s="30">
        <f t="shared" si="4"/>
        <v>-0.11664392905866294</v>
      </c>
    </row>
    <row r="23" spans="1:29" x14ac:dyDescent="0.35">
      <c r="A23" s="32" t="s">
        <v>116</v>
      </c>
      <c r="B23" s="33" t="s">
        <v>104</v>
      </c>
      <c r="C23" s="34">
        <f t="shared" ref="C23:AB23" si="7">C20+C21+C22</f>
        <v>279.29999999999995</v>
      </c>
      <c r="D23" s="34">
        <f t="shared" si="7"/>
        <v>278.5</v>
      </c>
      <c r="E23" s="34">
        <f t="shared" si="7"/>
        <v>286.3</v>
      </c>
      <c r="F23" s="34">
        <f t="shared" si="7"/>
        <v>282.3</v>
      </c>
      <c r="G23" s="34">
        <f t="shared" si="7"/>
        <v>285.7</v>
      </c>
      <c r="H23" s="34">
        <f t="shared" si="7"/>
        <v>304.3</v>
      </c>
      <c r="I23" s="34">
        <f t="shared" si="7"/>
        <v>351.1</v>
      </c>
      <c r="J23" s="34">
        <f t="shared" si="7"/>
        <v>340.7</v>
      </c>
      <c r="K23" s="34">
        <f t="shared" si="7"/>
        <v>322.5</v>
      </c>
      <c r="L23" s="34">
        <f t="shared" si="7"/>
        <v>420.6</v>
      </c>
      <c r="M23" s="34">
        <f t="shared" si="7"/>
        <v>329.90000000000003</v>
      </c>
      <c r="N23" s="34">
        <f t="shared" si="7"/>
        <v>340.5</v>
      </c>
      <c r="O23" s="34">
        <f t="shared" si="7"/>
        <v>346.8</v>
      </c>
      <c r="P23" s="34">
        <f t="shared" si="7"/>
        <v>344.3</v>
      </c>
      <c r="Q23" s="34">
        <f t="shared" si="7"/>
        <v>341.1</v>
      </c>
      <c r="R23" s="34">
        <f t="shared" si="7"/>
        <v>335.6</v>
      </c>
      <c r="S23" s="34">
        <f t="shared" si="7"/>
        <v>354.5</v>
      </c>
      <c r="T23" s="34">
        <f t="shared" si="7"/>
        <v>361.70000000000005</v>
      </c>
      <c r="U23" s="34">
        <f t="shared" si="7"/>
        <v>435.4</v>
      </c>
      <c r="V23" s="34">
        <f t="shared" si="7"/>
        <v>419.29999999999995</v>
      </c>
      <c r="W23" s="34">
        <f t="shared" si="7"/>
        <v>395.9</v>
      </c>
      <c r="X23" s="34">
        <f t="shared" si="7"/>
        <v>380.90000000000003</v>
      </c>
      <c r="Y23" s="34">
        <f t="shared" si="7"/>
        <v>387.2</v>
      </c>
      <c r="Z23" s="34">
        <f t="shared" si="7"/>
        <v>387</v>
      </c>
      <c r="AA23" s="34">
        <f t="shared" si="7"/>
        <v>3821.7</v>
      </c>
      <c r="AB23" s="34">
        <f t="shared" si="7"/>
        <v>4489.7</v>
      </c>
      <c r="AC23" s="35">
        <f t="shared" si="4"/>
        <v>0.17479132323311619</v>
      </c>
    </row>
    <row r="24" spans="1:29" x14ac:dyDescent="0.35">
      <c r="A24" s="5" t="s">
        <v>117</v>
      </c>
      <c r="B24" s="6" t="s">
        <v>104</v>
      </c>
      <c r="C24" s="36">
        <v>66.3</v>
      </c>
      <c r="D24" s="36">
        <v>67.099999999999994</v>
      </c>
      <c r="E24" s="36">
        <v>69</v>
      </c>
      <c r="F24" s="36">
        <v>68.599999999999994</v>
      </c>
      <c r="G24" s="36">
        <v>67.400000000000006</v>
      </c>
      <c r="H24" s="36">
        <v>69.599999999999994</v>
      </c>
      <c r="I24" s="36">
        <v>70.599999999999994</v>
      </c>
      <c r="J24" s="36">
        <v>70.900000000000006</v>
      </c>
      <c r="K24" s="36">
        <v>71.900000000000006</v>
      </c>
      <c r="L24" s="36">
        <v>70</v>
      </c>
      <c r="M24" s="36">
        <v>71.2</v>
      </c>
      <c r="N24" s="36">
        <v>73.5</v>
      </c>
      <c r="O24" s="36">
        <v>76.599999999999994</v>
      </c>
      <c r="P24" s="36">
        <v>80.8</v>
      </c>
      <c r="Q24" s="36">
        <v>79.7</v>
      </c>
      <c r="R24" s="36">
        <v>81.5</v>
      </c>
      <c r="S24" s="36">
        <v>80.099999999999994</v>
      </c>
      <c r="T24" s="36">
        <v>81.400000000000006</v>
      </c>
      <c r="U24" s="36">
        <v>83</v>
      </c>
      <c r="V24" s="36">
        <v>82.2</v>
      </c>
      <c r="W24" s="36">
        <v>83.5</v>
      </c>
      <c r="X24" s="36">
        <v>83.5</v>
      </c>
      <c r="Y24" s="36">
        <v>83.7</v>
      </c>
      <c r="Z24" s="36">
        <v>84.4</v>
      </c>
      <c r="AA24" s="19">
        <f t="shared" ref="AA24:AB26" si="8">SUMIF($C$6:$Z$6,AA$5,$C24:$Z24)</f>
        <v>836.1</v>
      </c>
      <c r="AB24" s="19">
        <f t="shared" si="8"/>
        <v>980.4</v>
      </c>
      <c r="AC24" s="30">
        <f t="shared" si="4"/>
        <v>0.1725870111230714</v>
      </c>
    </row>
    <row r="25" spans="1:29" x14ac:dyDescent="0.35">
      <c r="A25" s="5" t="s">
        <v>118</v>
      </c>
      <c r="B25" s="6" t="s">
        <v>104</v>
      </c>
      <c r="C25" s="36">
        <v>575.6</v>
      </c>
      <c r="D25" s="36">
        <v>571.5</v>
      </c>
      <c r="E25" s="36">
        <v>581.70000000000005</v>
      </c>
      <c r="F25" s="36">
        <v>582.6</v>
      </c>
      <c r="G25" s="36">
        <v>601.79999999999995</v>
      </c>
      <c r="H25" s="36">
        <v>700.6</v>
      </c>
      <c r="I25" s="36">
        <v>751.3</v>
      </c>
      <c r="J25" s="36">
        <v>739.4</v>
      </c>
      <c r="K25" s="36">
        <v>676.4</v>
      </c>
      <c r="L25" s="36">
        <v>655.7</v>
      </c>
      <c r="M25" s="36">
        <v>665.7</v>
      </c>
      <c r="N25" s="36">
        <v>723.3</v>
      </c>
      <c r="O25" s="36">
        <v>668.3</v>
      </c>
      <c r="P25" s="36">
        <v>698.7</v>
      </c>
      <c r="Q25" s="36">
        <v>653.9</v>
      </c>
      <c r="R25" s="36">
        <v>627.29999999999995</v>
      </c>
      <c r="S25" s="36">
        <v>689.9</v>
      </c>
      <c r="T25" s="36">
        <v>782.1</v>
      </c>
      <c r="U25" s="36">
        <v>904.5</v>
      </c>
      <c r="V25" s="36">
        <v>854.7</v>
      </c>
      <c r="W25" s="36">
        <v>815.8</v>
      </c>
      <c r="X25" s="36">
        <v>748.2</v>
      </c>
      <c r="Y25" s="36">
        <v>781.9</v>
      </c>
      <c r="Z25" s="36">
        <v>779.8</v>
      </c>
      <c r="AA25" s="19">
        <f t="shared" si="8"/>
        <v>7825.5999999999985</v>
      </c>
      <c r="AB25" s="19">
        <f t="shared" si="8"/>
        <v>9005.0999999999985</v>
      </c>
      <c r="AC25" s="30">
        <f t="shared" si="4"/>
        <v>0.15072326722551632</v>
      </c>
    </row>
    <row r="26" spans="1:29" x14ac:dyDescent="0.35">
      <c r="A26" s="5" t="s">
        <v>119</v>
      </c>
      <c r="B26" s="6" t="s">
        <v>104</v>
      </c>
      <c r="C26" s="36">
        <v>255.7</v>
      </c>
      <c r="D26" s="36">
        <v>253.4</v>
      </c>
      <c r="E26" s="36">
        <v>253.4</v>
      </c>
      <c r="F26" s="36">
        <v>262.5</v>
      </c>
      <c r="G26" s="36">
        <v>255.9</v>
      </c>
      <c r="H26" s="36">
        <v>268.2</v>
      </c>
      <c r="I26" s="36">
        <v>366.1</v>
      </c>
      <c r="J26" s="36">
        <v>364.7</v>
      </c>
      <c r="K26" s="36">
        <v>331.9</v>
      </c>
      <c r="L26" s="36">
        <v>297.8</v>
      </c>
      <c r="M26" s="36">
        <v>296.89999999999998</v>
      </c>
      <c r="N26" s="36">
        <v>315.8</v>
      </c>
      <c r="O26" s="36">
        <v>314.60000000000002</v>
      </c>
      <c r="P26" s="36">
        <v>310.5</v>
      </c>
      <c r="Q26" s="36">
        <v>293.39999999999998</v>
      </c>
      <c r="R26" s="36">
        <v>303.60000000000002</v>
      </c>
      <c r="S26" s="36">
        <v>324.5</v>
      </c>
      <c r="T26" s="36">
        <v>350.7</v>
      </c>
      <c r="U26" s="36">
        <v>448.5</v>
      </c>
      <c r="V26" s="36">
        <v>408.6</v>
      </c>
      <c r="W26" s="36">
        <v>345.7</v>
      </c>
      <c r="X26" s="36">
        <v>372</v>
      </c>
      <c r="Y26" s="36">
        <v>374.8</v>
      </c>
      <c r="Z26" s="36">
        <v>352.3</v>
      </c>
      <c r="AA26" s="19">
        <f t="shared" si="8"/>
        <v>3522.3000000000006</v>
      </c>
      <c r="AB26" s="19">
        <f t="shared" si="8"/>
        <v>4199.2</v>
      </c>
      <c r="AC26" s="30">
        <f t="shared" si="4"/>
        <v>0.19217556710104167</v>
      </c>
    </row>
    <row r="27" spans="1:29" x14ac:dyDescent="0.35">
      <c r="A27" s="32" t="s">
        <v>120</v>
      </c>
      <c r="B27" s="33" t="s">
        <v>104</v>
      </c>
      <c r="C27" s="34">
        <f t="shared" ref="C27:AB27" si="9">C24+C25+C26</f>
        <v>897.59999999999991</v>
      </c>
      <c r="D27" s="34">
        <f t="shared" si="9"/>
        <v>892</v>
      </c>
      <c r="E27" s="34">
        <f t="shared" si="9"/>
        <v>904.1</v>
      </c>
      <c r="F27" s="34">
        <f t="shared" si="9"/>
        <v>913.7</v>
      </c>
      <c r="G27" s="34">
        <f t="shared" si="9"/>
        <v>925.09999999999991</v>
      </c>
      <c r="H27" s="34">
        <f t="shared" si="9"/>
        <v>1038.4000000000001</v>
      </c>
      <c r="I27" s="34">
        <f t="shared" si="9"/>
        <v>1188</v>
      </c>
      <c r="J27" s="34">
        <f t="shared" si="9"/>
        <v>1175</v>
      </c>
      <c r="K27" s="34">
        <f t="shared" si="9"/>
        <v>1080.1999999999998</v>
      </c>
      <c r="L27" s="34">
        <f t="shared" si="9"/>
        <v>1023.5</v>
      </c>
      <c r="M27" s="34">
        <f t="shared" si="9"/>
        <v>1033.8000000000002</v>
      </c>
      <c r="N27" s="34">
        <f t="shared" si="9"/>
        <v>1112.5999999999999</v>
      </c>
      <c r="O27" s="34">
        <f t="shared" si="9"/>
        <v>1059.5</v>
      </c>
      <c r="P27" s="34">
        <f t="shared" si="9"/>
        <v>1090</v>
      </c>
      <c r="Q27" s="34">
        <f t="shared" si="9"/>
        <v>1027</v>
      </c>
      <c r="R27" s="34">
        <f t="shared" si="9"/>
        <v>1012.4</v>
      </c>
      <c r="S27" s="34">
        <f t="shared" si="9"/>
        <v>1094.5</v>
      </c>
      <c r="T27" s="34">
        <f t="shared" si="9"/>
        <v>1214.2</v>
      </c>
      <c r="U27" s="34">
        <f t="shared" si="9"/>
        <v>1436</v>
      </c>
      <c r="V27" s="34">
        <f t="shared" si="9"/>
        <v>1345.5</v>
      </c>
      <c r="W27" s="34">
        <f t="shared" si="9"/>
        <v>1245</v>
      </c>
      <c r="X27" s="34">
        <f t="shared" si="9"/>
        <v>1203.7</v>
      </c>
      <c r="Y27" s="34">
        <f t="shared" si="9"/>
        <v>1240.4000000000001</v>
      </c>
      <c r="Z27" s="34">
        <f t="shared" si="9"/>
        <v>1216.5</v>
      </c>
      <c r="AA27" s="34">
        <f t="shared" si="9"/>
        <v>12184</v>
      </c>
      <c r="AB27" s="34">
        <f t="shared" si="9"/>
        <v>14184.699999999997</v>
      </c>
      <c r="AC27" s="35">
        <f t="shared" si="4"/>
        <v>0.16420715692711729</v>
      </c>
    </row>
    <row r="28" spans="1:29" x14ac:dyDescent="0.35">
      <c r="A28" s="5" t="s">
        <v>121</v>
      </c>
      <c r="B28" s="6" t="s">
        <v>104</v>
      </c>
      <c r="C28" s="36">
        <v>11.2</v>
      </c>
      <c r="D28" s="36">
        <v>11.2</v>
      </c>
      <c r="E28" s="36">
        <v>11.3</v>
      </c>
      <c r="F28" s="36">
        <v>11</v>
      </c>
      <c r="G28" s="36">
        <v>11.2</v>
      </c>
      <c r="H28" s="36">
        <v>11.4</v>
      </c>
      <c r="I28" s="36">
        <v>12</v>
      </c>
      <c r="J28" s="36">
        <v>12</v>
      </c>
      <c r="K28" s="36">
        <v>12.1</v>
      </c>
      <c r="L28" s="36">
        <v>12.2</v>
      </c>
      <c r="M28" s="36">
        <v>12.1</v>
      </c>
      <c r="N28" s="36">
        <v>12.3</v>
      </c>
      <c r="O28" s="36">
        <v>13.1</v>
      </c>
      <c r="P28" s="36">
        <v>13.1</v>
      </c>
      <c r="Q28" s="36">
        <v>13.1</v>
      </c>
      <c r="R28" s="36">
        <v>13.3</v>
      </c>
      <c r="S28" s="36">
        <v>12.9</v>
      </c>
      <c r="T28" s="36">
        <v>12.7</v>
      </c>
      <c r="U28" s="36">
        <v>14.2</v>
      </c>
      <c r="V28" s="36">
        <v>13.9</v>
      </c>
      <c r="W28" s="36">
        <v>14</v>
      </c>
      <c r="X28" s="36">
        <v>14.2</v>
      </c>
      <c r="Y28" s="36">
        <v>13.7</v>
      </c>
      <c r="Z28" s="36">
        <v>13.8</v>
      </c>
      <c r="AA28" s="19">
        <f>SUMIF($C$6:$Z$6,AA$5,$C28:$Z28)</f>
        <v>140</v>
      </c>
      <c r="AB28" s="19">
        <f>SUMIF($C$6:$Z$6,AB$5,$C28:$Z28)</f>
        <v>162</v>
      </c>
      <c r="AC28" s="30">
        <f t="shared" si="4"/>
        <v>0.15714285714285725</v>
      </c>
    </row>
    <row r="29" spans="1:29" x14ac:dyDescent="0.35">
      <c r="A29" s="5" t="s">
        <v>122</v>
      </c>
      <c r="B29" s="6" t="s">
        <v>104</v>
      </c>
      <c r="C29" s="36">
        <v>8.6999999999999993</v>
      </c>
      <c r="D29" s="36">
        <v>10.1</v>
      </c>
      <c r="E29" s="36">
        <v>8.3000000000000007</v>
      </c>
      <c r="F29" s="36">
        <v>8.5</v>
      </c>
      <c r="G29" s="36">
        <v>9.6999999999999993</v>
      </c>
      <c r="H29" s="36">
        <v>9</v>
      </c>
      <c r="I29" s="36">
        <v>9.3000000000000007</v>
      </c>
      <c r="J29" s="36">
        <v>9.3000000000000007</v>
      </c>
      <c r="K29" s="36">
        <v>9.6999999999999993</v>
      </c>
      <c r="L29" s="36">
        <v>10.6</v>
      </c>
      <c r="M29" s="36">
        <v>9.6</v>
      </c>
      <c r="N29" s="36">
        <v>10.1</v>
      </c>
      <c r="O29" s="36">
        <v>8.1</v>
      </c>
      <c r="P29" s="36">
        <v>9.6999999999999993</v>
      </c>
      <c r="Q29" s="36">
        <v>9.1</v>
      </c>
      <c r="R29" s="36">
        <v>8.9</v>
      </c>
      <c r="S29" s="36">
        <v>9.1999999999999993</v>
      </c>
      <c r="T29" s="36">
        <v>9.6999999999999993</v>
      </c>
      <c r="U29" s="36">
        <v>10.8</v>
      </c>
      <c r="V29" s="36">
        <v>9</v>
      </c>
      <c r="W29" s="36">
        <v>10.199999999999999</v>
      </c>
      <c r="X29" s="36">
        <v>9.8000000000000007</v>
      </c>
      <c r="Y29" s="36">
        <v>10</v>
      </c>
      <c r="Z29" s="36">
        <v>11.2</v>
      </c>
      <c r="AA29" s="19">
        <f>SUMIF($C$6:$Z$6,AA$5,$C29:$Z29)</f>
        <v>112.89999999999998</v>
      </c>
      <c r="AB29" s="19">
        <f>SUMIF($C$6:$Z$6,AB$5,$C29:$Z29)</f>
        <v>115.7</v>
      </c>
      <c r="AC29" s="30">
        <f t="shared" si="4"/>
        <v>2.4800708591674381E-2</v>
      </c>
    </row>
    <row r="30" spans="1:29" x14ac:dyDescent="0.35">
      <c r="A30" s="32" t="s">
        <v>123</v>
      </c>
      <c r="B30" s="33" t="s">
        <v>104</v>
      </c>
      <c r="C30" s="34">
        <f t="shared" ref="C30:AB30" si="10">C28+C29</f>
        <v>19.899999999999999</v>
      </c>
      <c r="D30" s="34">
        <f t="shared" si="10"/>
        <v>21.299999999999997</v>
      </c>
      <c r="E30" s="34">
        <f t="shared" si="10"/>
        <v>19.600000000000001</v>
      </c>
      <c r="F30" s="34">
        <f t="shared" si="10"/>
        <v>19.5</v>
      </c>
      <c r="G30" s="34">
        <f t="shared" si="10"/>
        <v>20.9</v>
      </c>
      <c r="H30" s="34">
        <f t="shared" si="10"/>
        <v>20.399999999999999</v>
      </c>
      <c r="I30" s="34">
        <f t="shared" si="10"/>
        <v>21.3</v>
      </c>
      <c r="J30" s="34">
        <f t="shared" si="10"/>
        <v>21.3</v>
      </c>
      <c r="K30" s="34">
        <f t="shared" si="10"/>
        <v>21.799999999999997</v>
      </c>
      <c r="L30" s="34">
        <f t="shared" si="10"/>
        <v>22.799999999999997</v>
      </c>
      <c r="M30" s="34">
        <f t="shared" si="10"/>
        <v>21.7</v>
      </c>
      <c r="N30" s="34">
        <f t="shared" si="10"/>
        <v>22.4</v>
      </c>
      <c r="O30" s="34">
        <f t="shared" si="10"/>
        <v>21.2</v>
      </c>
      <c r="P30" s="34">
        <f t="shared" si="10"/>
        <v>22.799999999999997</v>
      </c>
      <c r="Q30" s="34">
        <f t="shared" si="10"/>
        <v>22.2</v>
      </c>
      <c r="R30" s="34">
        <f t="shared" si="10"/>
        <v>22.200000000000003</v>
      </c>
      <c r="S30" s="34">
        <f t="shared" si="10"/>
        <v>22.1</v>
      </c>
      <c r="T30" s="34">
        <f t="shared" si="10"/>
        <v>22.4</v>
      </c>
      <c r="U30" s="34">
        <f t="shared" si="10"/>
        <v>25</v>
      </c>
      <c r="V30" s="34">
        <f t="shared" si="10"/>
        <v>22.9</v>
      </c>
      <c r="W30" s="34">
        <f t="shared" si="10"/>
        <v>24.2</v>
      </c>
      <c r="X30" s="34">
        <f t="shared" si="10"/>
        <v>24</v>
      </c>
      <c r="Y30" s="34">
        <f t="shared" si="10"/>
        <v>23.7</v>
      </c>
      <c r="Z30" s="34">
        <f t="shared" si="10"/>
        <v>25</v>
      </c>
      <c r="AA30" s="34">
        <f t="shared" si="10"/>
        <v>252.89999999999998</v>
      </c>
      <c r="AB30" s="34">
        <f t="shared" si="10"/>
        <v>277.7</v>
      </c>
      <c r="AC30" s="35">
        <f t="shared" si="4"/>
        <v>9.8062475286674555E-2</v>
      </c>
    </row>
    <row r="31" spans="1:29" x14ac:dyDescent="0.35">
      <c r="A31" s="5" t="s">
        <v>124</v>
      </c>
      <c r="B31" s="6" t="s">
        <v>104</v>
      </c>
      <c r="C31" s="36">
        <v>61.6</v>
      </c>
      <c r="D31" s="36">
        <v>62.2</v>
      </c>
      <c r="E31" s="36">
        <v>64.7</v>
      </c>
      <c r="F31" s="36">
        <v>64.8</v>
      </c>
      <c r="G31" s="36">
        <v>64.599999999999994</v>
      </c>
      <c r="H31" s="36">
        <v>63.3</v>
      </c>
      <c r="I31" s="36">
        <v>64.099999999999994</v>
      </c>
      <c r="J31" s="36">
        <v>66</v>
      </c>
      <c r="K31" s="36">
        <v>65.599999999999994</v>
      </c>
      <c r="L31" s="36">
        <v>66.3</v>
      </c>
      <c r="M31" s="36">
        <v>68.099999999999994</v>
      </c>
      <c r="N31" s="36">
        <v>67.599999999999994</v>
      </c>
      <c r="O31" s="36">
        <v>72.900000000000006</v>
      </c>
      <c r="P31" s="36">
        <v>72.5</v>
      </c>
      <c r="Q31" s="36">
        <v>74.400000000000006</v>
      </c>
      <c r="R31" s="36">
        <v>83.3</v>
      </c>
      <c r="S31" s="36">
        <v>83.8</v>
      </c>
      <c r="T31" s="36">
        <v>84.2</v>
      </c>
      <c r="U31" s="36">
        <v>86.5</v>
      </c>
      <c r="V31" s="36">
        <v>85.3</v>
      </c>
      <c r="W31" s="36">
        <v>86.2</v>
      </c>
      <c r="X31" s="36">
        <v>85.4</v>
      </c>
      <c r="Y31" s="36">
        <v>87.3</v>
      </c>
      <c r="Z31" s="36">
        <v>88.3</v>
      </c>
      <c r="AA31" s="19">
        <f>SUMIF($C$6:$Z$6,AA$5,$C31:$Z31)</f>
        <v>778.9</v>
      </c>
      <c r="AB31" s="19">
        <f>SUMIF($C$6:$Z$6,AB$5,$C31:$Z31)</f>
        <v>990.09999999999991</v>
      </c>
      <c r="AC31" s="30">
        <f t="shared" si="4"/>
        <v>0.27115162408524829</v>
      </c>
    </row>
    <row r="32" spans="1:29" x14ac:dyDescent="0.35">
      <c r="A32" s="5" t="s">
        <v>125</v>
      </c>
      <c r="B32" s="6" t="s">
        <v>104</v>
      </c>
      <c r="C32" s="36">
        <v>36.6</v>
      </c>
      <c r="D32" s="36">
        <v>37.799999999999997</v>
      </c>
      <c r="E32" s="36">
        <v>36.6</v>
      </c>
      <c r="F32" s="36">
        <v>36.299999999999997</v>
      </c>
      <c r="G32" s="36">
        <v>157.19999999999999</v>
      </c>
      <c r="H32" s="36">
        <v>38.1</v>
      </c>
      <c r="I32" s="36">
        <v>38.4</v>
      </c>
      <c r="J32" s="36">
        <v>37.299999999999997</v>
      </c>
      <c r="K32" s="36">
        <v>39.1</v>
      </c>
      <c r="L32" s="36">
        <v>39.6</v>
      </c>
      <c r="M32" s="36">
        <v>42.8</v>
      </c>
      <c r="N32" s="36">
        <v>42.4</v>
      </c>
      <c r="O32" s="36">
        <v>39.5</v>
      </c>
      <c r="P32" s="36">
        <v>40.6</v>
      </c>
      <c r="Q32" s="36">
        <v>39.6</v>
      </c>
      <c r="R32" s="36">
        <v>47.1</v>
      </c>
      <c r="S32" s="36">
        <v>48.6</v>
      </c>
      <c r="T32" s="36">
        <v>50.2</v>
      </c>
      <c r="U32" s="36">
        <v>48.1</v>
      </c>
      <c r="V32" s="36">
        <v>48.6</v>
      </c>
      <c r="W32" s="36">
        <v>47.1</v>
      </c>
      <c r="X32" s="36">
        <v>50.1</v>
      </c>
      <c r="Y32" s="36">
        <v>49.4</v>
      </c>
      <c r="Z32" s="36">
        <v>50.5</v>
      </c>
      <c r="AA32" s="19">
        <f>SUMIF($C$6:$Z$6,AA$5,$C32:$Z32)</f>
        <v>582.20000000000005</v>
      </c>
      <c r="AB32" s="19">
        <f>SUMIF($C$6:$Z$6,AB$5,$C32:$Z32)</f>
        <v>559.40000000000009</v>
      </c>
      <c r="AC32" s="30">
        <f t="shared" si="4"/>
        <v>-3.9161800068704844E-2</v>
      </c>
    </row>
    <row r="33" spans="1:29" x14ac:dyDescent="0.35">
      <c r="A33" s="32" t="s">
        <v>126</v>
      </c>
      <c r="B33" s="33" t="s">
        <v>104</v>
      </c>
      <c r="C33" s="34">
        <f t="shared" ref="C33:AB33" si="11">C31+C32</f>
        <v>98.2</v>
      </c>
      <c r="D33" s="34">
        <f t="shared" si="11"/>
        <v>100</v>
      </c>
      <c r="E33" s="34">
        <f t="shared" si="11"/>
        <v>101.30000000000001</v>
      </c>
      <c r="F33" s="34">
        <f t="shared" si="11"/>
        <v>101.1</v>
      </c>
      <c r="G33" s="34">
        <f t="shared" si="11"/>
        <v>221.79999999999998</v>
      </c>
      <c r="H33" s="34">
        <f t="shared" si="11"/>
        <v>101.4</v>
      </c>
      <c r="I33" s="34">
        <f t="shared" si="11"/>
        <v>102.5</v>
      </c>
      <c r="J33" s="34">
        <f t="shared" si="11"/>
        <v>103.3</v>
      </c>
      <c r="K33" s="34">
        <f t="shared" si="11"/>
        <v>104.69999999999999</v>
      </c>
      <c r="L33" s="34">
        <f t="shared" si="11"/>
        <v>105.9</v>
      </c>
      <c r="M33" s="34">
        <f t="shared" si="11"/>
        <v>110.89999999999999</v>
      </c>
      <c r="N33" s="34">
        <f t="shared" si="11"/>
        <v>110</v>
      </c>
      <c r="O33" s="34">
        <f t="shared" si="11"/>
        <v>112.4</v>
      </c>
      <c r="P33" s="34">
        <f t="shared" si="11"/>
        <v>113.1</v>
      </c>
      <c r="Q33" s="34">
        <f t="shared" si="11"/>
        <v>114</v>
      </c>
      <c r="R33" s="34">
        <f t="shared" si="11"/>
        <v>130.4</v>
      </c>
      <c r="S33" s="34">
        <f t="shared" si="11"/>
        <v>132.4</v>
      </c>
      <c r="T33" s="34">
        <f t="shared" si="11"/>
        <v>134.4</v>
      </c>
      <c r="U33" s="34">
        <f t="shared" si="11"/>
        <v>134.6</v>
      </c>
      <c r="V33" s="34">
        <f t="shared" si="11"/>
        <v>133.9</v>
      </c>
      <c r="W33" s="34">
        <f t="shared" si="11"/>
        <v>133.30000000000001</v>
      </c>
      <c r="X33" s="34">
        <f t="shared" si="11"/>
        <v>135.5</v>
      </c>
      <c r="Y33" s="34">
        <f t="shared" si="11"/>
        <v>136.69999999999999</v>
      </c>
      <c r="Z33" s="34">
        <f t="shared" si="11"/>
        <v>138.80000000000001</v>
      </c>
      <c r="AA33" s="34">
        <f t="shared" si="11"/>
        <v>1361.1</v>
      </c>
      <c r="AB33" s="34">
        <f t="shared" si="11"/>
        <v>1549.5</v>
      </c>
      <c r="AC33" s="35">
        <f t="shared" si="4"/>
        <v>0.13841745646903258</v>
      </c>
    </row>
    <row r="34" spans="1:29" x14ac:dyDescent="0.35">
      <c r="A34" s="5" t="s">
        <v>127</v>
      </c>
      <c r="B34" s="6" t="s">
        <v>104</v>
      </c>
      <c r="C34" s="36">
        <v>28.8</v>
      </c>
      <c r="D34" s="36">
        <v>29</v>
      </c>
      <c r="E34" s="36">
        <v>29</v>
      </c>
      <c r="F34" s="36">
        <v>29.8</v>
      </c>
      <c r="G34" s="36">
        <v>30.4</v>
      </c>
      <c r="H34" s="36">
        <v>30.9</v>
      </c>
      <c r="I34" s="36">
        <v>30.5</v>
      </c>
      <c r="J34" s="36">
        <v>30.7</v>
      </c>
      <c r="K34" s="36">
        <v>31</v>
      </c>
      <c r="L34" s="36">
        <v>32.299999999999997</v>
      </c>
      <c r="M34" s="36">
        <v>31.7</v>
      </c>
      <c r="N34" s="36">
        <v>32.299999999999997</v>
      </c>
      <c r="O34" s="36">
        <v>34</v>
      </c>
      <c r="P34" s="36">
        <v>33.700000000000003</v>
      </c>
      <c r="Q34" s="36">
        <v>33.799999999999997</v>
      </c>
      <c r="R34" s="36">
        <v>34.6</v>
      </c>
      <c r="S34" s="36">
        <v>34.799999999999997</v>
      </c>
      <c r="T34" s="36">
        <v>35.1</v>
      </c>
      <c r="U34" s="36">
        <v>35.6</v>
      </c>
      <c r="V34" s="36">
        <v>35.9</v>
      </c>
      <c r="W34" s="36">
        <v>34.6</v>
      </c>
      <c r="X34" s="36">
        <v>36.6</v>
      </c>
      <c r="Y34" s="36">
        <v>36</v>
      </c>
      <c r="Z34" s="36">
        <v>36.6</v>
      </c>
      <c r="AA34" s="19">
        <f>SUMIF($C$6:$Z$6,AA$5,$C34:$Z34)</f>
        <v>366.40000000000003</v>
      </c>
      <c r="AB34" s="19">
        <f>SUMIF($C$6:$Z$6,AB$5,$C34:$Z34)</f>
        <v>421.3</v>
      </c>
      <c r="AC34" s="30">
        <f t="shared" si="4"/>
        <v>0.1498362445414847</v>
      </c>
    </row>
    <row r="35" spans="1:29" x14ac:dyDescent="0.35">
      <c r="A35" s="5" t="s">
        <v>128</v>
      </c>
      <c r="B35" s="6" t="s">
        <v>104</v>
      </c>
      <c r="C35" s="36">
        <v>50.2</v>
      </c>
      <c r="D35" s="36">
        <v>52.2</v>
      </c>
      <c r="E35" s="36">
        <v>49</v>
      </c>
      <c r="F35" s="36">
        <v>50</v>
      </c>
      <c r="G35" s="36">
        <v>58</v>
      </c>
      <c r="H35" s="36">
        <v>51.1</v>
      </c>
      <c r="I35" s="36">
        <v>51.8</v>
      </c>
      <c r="J35" s="36">
        <v>58.6</v>
      </c>
      <c r="K35" s="36">
        <v>61.4</v>
      </c>
      <c r="L35" s="36">
        <v>52.8</v>
      </c>
      <c r="M35" s="36">
        <v>54.9</v>
      </c>
      <c r="N35" s="36">
        <v>111.9</v>
      </c>
      <c r="O35" s="36">
        <v>60.4</v>
      </c>
      <c r="P35" s="36">
        <v>54.7</v>
      </c>
      <c r="Q35" s="36">
        <v>56.8</v>
      </c>
      <c r="R35" s="36">
        <v>59.5</v>
      </c>
      <c r="S35" s="36">
        <v>59.2</v>
      </c>
      <c r="T35" s="36">
        <v>57.7</v>
      </c>
      <c r="U35" s="36">
        <v>58.6</v>
      </c>
      <c r="V35" s="36">
        <v>56.1</v>
      </c>
      <c r="W35" s="36">
        <v>59.2</v>
      </c>
      <c r="X35" s="36">
        <v>59.6</v>
      </c>
      <c r="Y35" s="36">
        <v>61.2</v>
      </c>
      <c r="Z35" s="36">
        <v>59.7</v>
      </c>
      <c r="AA35" s="19">
        <f>SUMIF($C$6:$Z$6,AA$5,$C35:$Z35)</f>
        <v>701.9</v>
      </c>
      <c r="AB35" s="19">
        <f>SUMIF($C$6:$Z$6,AB$5,$C35:$Z35)</f>
        <v>702.70000000000016</v>
      </c>
      <c r="AC35" s="30">
        <f t="shared" si="4"/>
        <v>1.1397634990741867E-3</v>
      </c>
    </row>
    <row r="36" spans="1:29" x14ac:dyDescent="0.35">
      <c r="A36" s="32" t="s">
        <v>129</v>
      </c>
      <c r="B36" s="33" t="s">
        <v>104</v>
      </c>
      <c r="C36" s="34">
        <f t="shared" ref="C36:AB36" si="12">C34+C35</f>
        <v>79</v>
      </c>
      <c r="D36" s="34">
        <f t="shared" si="12"/>
        <v>81.2</v>
      </c>
      <c r="E36" s="34">
        <f t="shared" si="12"/>
        <v>78</v>
      </c>
      <c r="F36" s="34">
        <f t="shared" si="12"/>
        <v>79.8</v>
      </c>
      <c r="G36" s="34">
        <f t="shared" si="12"/>
        <v>88.4</v>
      </c>
      <c r="H36" s="34">
        <f t="shared" si="12"/>
        <v>82</v>
      </c>
      <c r="I36" s="34">
        <f t="shared" si="12"/>
        <v>82.3</v>
      </c>
      <c r="J36" s="34">
        <f t="shared" si="12"/>
        <v>89.3</v>
      </c>
      <c r="K36" s="34">
        <f t="shared" si="12"/>
        <v>92.4</v>
      </c>
      <c r="L36" s="34">
        <f t="shared" si="12"/>
        <v>85.1</v>
      </c>
      <c r="M36" s="34">
        <f t="shared" si="12"/>
        <v>86.6</v>
      </c>
      <c r="N36" s="34">
        <f t="shared" si="12"/>
        <v>144.19999999999999</v>
      </c>
      <c r="O36" s="34">
        <f t="shared" si="12"/>
        <v>94.4</v>
      </c>
      <c r="P36" s="34">
        <f t="shared" si="12"/>
        <v>88.4</v>
      </c>
      <c r="Q36" s="34">
        <f t="shared" si="12"/>
        <v>90.6</v>
      </c>
      <c r="R36" s="34">
        <f t="shared" si="12"/>
        <v>94.1</v>
      </c>
      <c r="S36" s="34">
        <f t="shared" si="12"/>
        <v>94</v>
      </c>
      <c r="T36" s="34">
        <f t="shared" si="12"/>
        <v>92.800000000000011</v>
      </c>
      <c r="U36" s="34">
        <f t="shared" si="12"/>
        <v>94.2</v>
      </c>
      <c r="V36" s="34">
        <f t="shared" si="12"/>
        <v>92</v>
      </c>
      <c r="W36" s="34">
        <f t="shared" si="12"/>
        <v>93.800000000000011</v>
      </c>
      <c r="X36" s="34">
        <f t="shared" si="12"/>
        <v>96.2</v>
      </c>
      <c r="Y36" s="34">
        <f t="shared" si="12"/>
        <v>97.2</v>
      </c>
      <c r="Z36" s="34">
        <f t="shared" si="12"/>
        <v>96.300000000000011</v>
      </c>
      <c r="AA36" s="34">
        <f t="shared" si="12"/>
        <v>1068.3</v>
      </c>
      <c r="AB36" s="34">
        <f t="shared" si="12"/>
        <v>1124.0000000000002</v>
      </c>
      <c r="AC36" s="35">
        <f t="shared" si="4"/>
        <v>5.2138912290555339E-2</v>
      </c>
    </row>
    <row r="37" spans="1:29" x14ac:dyDescent="0.35">
      <c r="A37" s="7" t="s">
        <v>130</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35">
      <c r="A38" s="32" t="s">
        <v>131</v>
      </c>
      <c r="B38" s="33" t="s">
        <v>104</v>
      </c>
      <c r="C38" s="34">
        <f t="shared" ref="C38:AB38" si="13">C19+C23+C27+C30+C33+C36</f>
        <v>1495.3</v>
      </c>
      <c r="D38" s="34">
        <f t="shared" si="13"/>
        <v>1497.7</v>
      </c>
      <c r="E38" s="34">
        <f t="shared" si="13"/>
        <v>1515.7</v>
      </c>
      <c r="F38" s="34">
        <f t="shared" si="13"/>
        <v>1524.3999999999999</v>
      </c>
      <c r="G38" s="34">
        <f t="shared" si="13"/>
        <v>1669.1000000000001</v>
      </c>
      <c r="H38" s="34">
        <f t="shared" si="13"/>
        <v>1679.2000000000003</v>
      </c>
      <c r="I38" s="34">
        <f t="shared" si="13"/>
        <v>1904.1</v>
      </c>
      <c r="J38" s="34">
        <f t="shared" si="13"/>
        <v>1879.4999999999998</v>
      </c>
      <c r="K38" s="34">
        <f t="shared" si="13"/>
        <v>1767.6999999999998</v>
      </c>
      <c r="L38" s="34">
        <f t="shared" si="13"/>
        <v>1796</v>
      </c>
      <c r="M38" s="34">
        <f t="shared" si="13"/>
        <v>1721.9000000000003</v>
      </c>
      <c r="N38" s="34">
        <f t="shared" si="13"/>
        <v>1875.1000000000001</v>
      </c>
      <c r="O38" s="34">
        <f t="shared" si="13"/>
        <v>1778.3000000000002</v>
      </c>
      <c r="P38" s="34">
        <f t="shared" si="13"/>
        <v>1809.8</v>
      </c>
      <c r="Q38" s="34">
        <f t="shared" si="13"/>
        <v>1741.8</v>
      </c>
      <c r="R38" s="34">
        <f t="shared" si="13"/>
        <v>1741.6000000000001</v>
      </c>
      <c r="S38" s="34">
        <f t="shared" si="13"/>
        <v>1854.8</v>
      </c>
      <c r="T38" s="34">
        <f t="shared" si="13"/>
        <v>1985.5000000000002</v>
      </c>
      <c r="U38" s="34">
        <f t="shared" si="13"/>
        <v>2312.6999999999998</v>
      </c>
      <c r="V38" s="34">
        <f t="shared" si="13"/>
        <v>2194</v>
      </c>
      <c r="W38" s="34">
        <f t="shared" si="13"/>
        <v>2062.7000000000003</v>
      </c>
      <c r="X38" s="34">
        <f t="shared" si="13"/>
        <v>2008.6000000000001</v>
      </c>
      <c r="Y38" s="34">
        <f t="shared" si="13"/>
        <v>2048.2000000000003</v>
      </c>
      <c r="Z38" s="34">
        <f t="shared" si="13"/>
        <v>2028.3</v>
      </c>
      <c r="AA38" s="34">
        <f t="shared" si="13"/>
        <v>20325.7</v>
      </c>
      <c r="AB38" s="34">
        <f t="shared" si="13"/>
        <v>23566.3</v>
      </c>
      <c r="AC38" s="35">
        <f>IF(AA38=0,"",AB38/AA38-1)</f>
        <v>0.1594336234422431</v>
      </c>
    </row>
    <row r="39" spans="1:29" x14ac:dyDescent="0.35">
      <c r="A39" s="32" t="s">
        <v>132</v>
      </c>
      <c r="B39" s="33" t="s">
        <v>104</v>
      </c>
      <c r="C39" s="34">
        <f t="shared" ref="C39:AB39" si="14">C14-C38</f>
        <v>132.07680999999957</v>
      </c>
      <c r="D39" s="34">
        <f t="shared" si="14"/>
        <v>106.78244399999994</v>
      </c>
      <c r="E39" s="34">
        <f t="shared" si="14"/>
        <v>136.93457599999988</v>
      </c>
      <c r="F39" s="34">
        <f t="shared" si="14"/>
        <v>128.25902600000018</v>
      </c>
      <c r="G39" s="34">
        <f t="shared" si="14"/>
        <v>-20.742911999999933</v>
      </c>
      <c r="H39" s="34">
        <f t="shared" si="14"/>
        <v>124.93876499999988</v>
      </c>
      <c r="I39" s="34">
        <f t="shared" si="14"/>
        <v>386.38704599999983</v>
      </c>
      <c r="J39" s="34">
        <f t="shared" si="14"/>
        <v>290.70694300000036</v>
      </c>
      <c r="K39" s="34">
        <f t="shared" si="14"/>
        <v>263.5573959999997</v>
      </c>
      <c r="L39" s="34">
        <f t="shared" si="14"/>
        <v>159.29824800000006</v>
      </c>
      <c r="M39" s="34">
        <f t="shared" si="14"/>
        <v>222.5152599999999</v>
      </c>
      <c r="N39" s="34">
        <f t="shared" si="14"/>
        <v>197.1943719999997</v>
      </c>
      <c r="O39" s="34">
        <f t="shared" si="14"/>
        <v>177.75502799999913</v>
      </c>
      <c r="P39" s="34">
        <f t="shared" si="14"/>
        <v>230.06679200000031</v>
      </c>
      <c r="Q39" s="34">
        <f t="shared" si="14"/>
        <v>249.26533500000005</v>
      </c>
      <c r="R39" s="34">
        <f t="shared" si="14"/>
        <v>216.00589899999977</v>
      </c>
      <c r="S39" s="34">
        <f t="shared" si="14"/>
        <v>302.90281600000003</v>
      </c>
      <c r="T39" s="34">
        <f t="shared" si="14"/>
        <v>261.38256499999966</v>
      </c>
      <c r="U39" s="34">
        <f t="shared" si="14"/>
        <v>481.70117000000027</v>
      </c>
      <c r="V39" s="34">
        <f t="shared" si="14"/>
        <v>497.15393600000016</v>
      </c>
      <c r="W39" s="34">
        <f t="shared" si="14"/>
        <v>451.16856999999982</v>
      </c>
      <c r="X39" s="34">
        <f t="shared" si="14"/>
        <v>385.6607419999998</v>
      </c>
      <c r="Y39" s="34">
        <f t="shared" si="14"/>
        <v>348.41303999999991</v>
      </c>
      <c r="Z39" s="34">
        <f t="shared" si="14"/>
        <v>408.28275599999984</v>
      </c>
      <c r="AA39" s="34">
        <f t="shared" si="14"/>
        <v>2127.9079740000052</v>
      </c>
      <c r="AB39" s="34">
        <f t="shared" si="14"/>
        <v>4009.7586490000067</v>
      </c>
      <c r="AC39" s="35">
        <f>IF(AA39=0,"",AB39/AA39-1)</f>
        <v>0.88436656941631298</v>
      </c>
    </row>
    <row r="40" spans="1:29" x14ac:dyDescent="0.35">
      <c r="A40" s="5" t="s">
        <v>133</v>
      </c>
      <c r="B40" s="6" t="s">
        <v>108</v>
      </c>
      <c r="C40" s="37">
        <f t="shared" ref="C40:AB40" si="15">IF(C12=0,0,C39/C12)</f>
        <v>5.3907211994712767E-2</v>
      </c>
      <c r="D40" s="37">
        <f t="shared" si="15"/>
        <v>4.4110714808207663E-2</v>
      </c>
      <c r="E40" s="37">
        <f t="shared" si="15"/>
        <v>5.5148074587262563E-2</v>
      </c>
      <c r="F40" s="37">
        <f t="shared" si="15"/>
        <v>5.1917082878184181E-2</v>
      </c>
      <c r="G40" s="37">
        <f t="shared" si="15"/>
        <v>-8.3076088333974892E-3</v>
      </c>
      <c r="H40" s="37">
        <f t="shared" si="15"/>
        <v>4.6226726244480335E-2</v>
      </c>
      <c r="I40" s="37">
        <f t="shared" si="15"/>
        <v>0.11276148564532916</v>
      </c>
      <c r="J40" s="37">
        <f t="shared" si="15"/>
        <v>8.9652229860164204E-2</v>
      </c>
      <c r="K40" s="37">
        <f t="shared" si="15"/>
        <v>8.7292125656185604E-2</v>
      </c>
      <c r="L40" s="37">
        <f t="shared" si="15"/>
        <v>5.566563424754211E-2</v>
      </c>
      <c r="M40" s="37">
        <f t="shared" si="15"/>
        <v>7.7034476182756911E-2</v>
      </c>
      <c r="N40" s="37">
        <f t="shared" si="15"/>
        <v>6.5087215998564665E-2</v>
      </c>
      <c r="O40" s="37">
        <f t="shared" si="15"/>
        <v>6.1104044539923075E-2</v>
      </c>
      <c r="P40" s="37">
        <f t="shared" si="15"/>
        <v>7.6781918893993759E-2</v>
      </c>
      <c r="Q40" s="37">
        <f t="shared" si="15"/>
        <v>8.5750561609693576E-2</v>
      </c>
      <c r="R40" s="37">
        <f t="shared" si="15"/>
        <v>7.599671065524527E-2</v>
      </c>
      <c r="S40" s="37">
        <f t="shared" si="15"/>
        <v>9.7006418840648395E-2</v>
      </c>
      <c r="T40" s="37">
        <f t="shared" si="15"/>
        <v>8.0629271013430745E-2</v>
      </c>
      <c r="U40" s="37">
        <f t="shared" si="15"/>
        <v>0.11878015264270397</v>
      </c>
      <c r="V40" s="37">
        <f t="shared" si="15"/>
        <v>0.12749975871281652</v>
      </c>
      <c r="W40" s="37">
        <f t="shared" si="15"/>
        <v>0.12535007077840812</v>
      </c>
      <c r="X40" s="37">
        <f t="shared" si="15"/>
        <v>0.11192325029977367</v>
      </c>
      <c r="Y40" s="37">
        <f t="shared" si="15"/>
        <v>0.10047053747741831</v>
      </c>
      <c r="Z40" s="37">
        <f t="shared" si="15"/>
        <v>0.11620126359704842</v>
      </c>
      <c r="AA40" s="37">
        <f t="shared" si="15"/>
        <v>6.3534229281896462E-2</v>
      </c>
      <c r="AB40" s="37">
        <f t="shared" si="15"/>
        <v>0.10024406985481346</v>
      </c>
      <c r="AC40" s="30">
        <f>AB40-AA40</f>
        <v>3.6709840572916999E-2</v>
      </c>
    </row>
    <row r="41" spans="1:29" x14ac:dyDescent="0.35">
      <c r="A41" s="5" t="s">
        <v>134</v>
      </c>
      <c r="B41" s="6" t="s">
        <v>104</v>
      </c>
      <c r="C41" s="36">
        <v>54.1</v>
      </c>
      <c r="D41" s="36">
        <v>54.9</v>
      </c>
      <c r="E41" s="36">
        <v>55.2</v>
      </c>
      <c r="F41" s="36">
        <v>55.9</v>
      </c>
      <c r="G41" s="36">
        <v>56.4</v>
      </c>
      <c r="H41" s="36">
        <v>57</v>
      </c>
      <c r="I41" s="36">
        <v>57.5</v>
      </c>
      <c r="J41" s="36">
        <v>58.4</v>
      </c>
      <c r="K41" s="36">
        <v>58.9</v>
      </c>
      <c r="L41" s="36">
        <v>60.2</v>
      </c>
      <c r="M41" s="36">
        <v>60.7</v>
      </c>
      <c r="N41" s="36">
        <v>61</v>
      </c>
      <c r="O41" s="36">
        <v>61.3</v>
      </c>
      <c r="P41" s="36">
        <v>61.9</v>
      </c>
      <c r="Q41" s="36">
        <v>63.3</v>
      </c>
      <c r="R41" s="36">
        <v>63.7</v>
      </c>
      <c r="S41" s="36">
        <v>64.5</v>
      </c>
      <c r="T41" s="36">
        <v>64.5</v>
      </c>
      <c r="U41" s="36">
        <v>66.099999999999994</v>
      </c>
      <c r="V41" s="36">
        <v>66.599999999999994</v>
      </c>
      <c r="W41" s="36">
        <v>66.8</v>
      </c>
      <c r="X41" s="36">
        <v>67.8</v>
      </c>
      <c r="Y41" s="36">
        <v>68.8</v>
      </c>
      <c r="Z41" s="36">
        <v>69.5</v>
      </c>
      <c r="AA41" s="19">
        <f>SUMIF($C$6:$Z$6,AA$5,$C41:$Z41)</f>
        <v>690.2</v>
      </c>
      <c r="AB41" s="19">
        <f>SUMIF($C$6:$Z$6,AB$5,$C41:$Z41)</f>
        <v>784.79999999999984</v>
      </c>
      <c r="AC41" s="30">
        <f>IF(AA41=0,"",AB41/AA41-1)</f>
        <v>0.13706172124021987</v>
      </c>
    </row>
    <row r="42" spans="1:29" x14ac:dyDescent="0.35">
      <c r="A42" s="32" t="s">
        <v>135</v>
      </c>
      <c r="B42" s="33" t="s">
        <v>104</v>
      </c>
      <c r="C42" s="34">
        <f t="shared" ref="C42:AB42" si="16">C39-C41</f>
        <v>77.976809999999574</v>
      </c>
      <c r="D42" s="34">
        <f t="shared" si="16"/>
        <v>51.882443999999943</v>
      </c>
      <c r="E42" s="34">
        <f t="shared" si="16"/>
        <v>81.734575999999876</v>
      </c>
      <c r="F42" s="34">
        <f t="shared" si="16"/>
        <v>72.359026000000171</v>
      </c>
      <c r="G42" s="34">
        <f t="shared" si="16"/>
        <v>-77.142911999999939</v>
      </c>
      <c r="H42" s="34">
        <f t="shared" si="16"/>
        <v>67.938764999999876</v>
      </c>
      <c r="I42" s="34">
        <f t="shared" si="16"/>
        <v>328.88704599999983</v>
      </c>
      <c r="J42" s="34">
        <f t="shared" si="16"/>
        <v>232.30694300000036</v>
      </c>
      <c r="K42" s="34">
        <f t="shared" si="16"/>
        <v>204.65739599999969</v>
      </c>
      <c r="L42" s="34">
        <f t="shared" si="16"/>
        <v>99.098248000000055</v>
      </c>
      <c r="M42" s="34">
        <f t="shared" si="16"/>
        <v>161.81525999999991</v>
      </c>
      <c r="N42" s="34">
        <f t="shared" si="16"/>
        <v>136.1943719999997</v>
      </c>
      <c r="O42" s="34">
        <f t="shared" si="16"/>
        <v>116.45502799999913</v>
      </c>
      <c r="P42" s="34">
        <f t="shared" si="16"/>
        <v>168.1667920000003</v>
      </c>
      <c r="Q42" s="34">
        <f t="shared" si="16"/>
        <v>185.96533500000004</v>
      </c>
      <c r="R42" s="34">
        <f t="shared" si="16"/>
        <v>152.30589899999978</v>
      </c>
      <c r="S42" s="34">
        <f t="shared" si="16"/>
        <v>238.40281600000003</v>
      </c>
      <c r="T42" s="34">
        <f t="shared" si="16"/>
        <v>196.88256499999966</v>
      </c>
      <c r="U42" s="34">
        <f t="shared" si="16"/>
        <v>415.60117000000025</v>
      </c>
      <c r="V42" s="34">
        <f t="shared" si="16"/>
        <v>430.55393600000014</v>
      </c>
      <c r="W42" s="34">
        <f t="shared" si="16"/>
        <v>384.36856999999981</v>
      </c>
      <c r="X42" s="34">
        <f t="shared" si="16"/>
        <v>317.86074199999979</v>
      </c>
      <c r="Y42" s="34">
        <f t="shared" si="16"/>
        <v>279.6130399999999</v>
      </c>
      <c r="Z42" s="34">
        <f t="shared" si="16"/>
        <v>338.78275599999984</v>
      </c>
      <c r="AA42" s="34">
        <f t="shared" si="16"/>
        <v>1437.7079740000052</v>
      </c>
      <c r="AB42" s="34">
        <f t="shared" si="16"/>
        <v>3224.958649000007</v>
      </c>
      <c r="AC42" s="35">
        <f>IF(AA42=0,"",AB42/AA42-1)</f>
        <v>1.2431249650980898</v>
      </c>
    </row>
    <row r="43" spans="1:29" x14ac:dyDescent="0.35">
      <c r="A43" s="7" t="s">
        <v>136</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35">
      <c r="A44" s="5" t="s">
        <v>137</v>
      </c>
      <c r="B44" s="6" t="s">
        <v>99</v>
      </c>
      <c r="C44" s="28">
        <v>50</v>
      </c>
      <c r="D44" s="28">
        <v>50</v>
      </c>
      <c r="E44" s="28">
        <v>51</v>
      </c>
      <c r="F44" s="28">
        <v>51</v>
      </c>
      <c r="G44" s="28">
        <v>52</v>
      </c>
      <c r="H44" s="28">
        <v>52</v>
      </c>
      <c r="I44" s="28">
        <v>53</v>
      </c>
      <c r="J44" s="28">
        <v>53</v>
      </c>
      <c r="K44" s="28">
        <v>53</v>
      </c>
      <c r="L44" s="28">
        <v>54</v>
      </c>
      <c r="M44" s="28">
        <v>54</v>
      </c>
      <c r="N44" s="28">
        <v>55</v>
      </c>
      <c r="O44" s="28">
        <v>55</v>
      </c>
      <c r="P44" s="28">
        <v>56</v>
      </c>
      <c r="Q44" s="28">
        <v>56</v>
      </c>
      <c r="R44" s="28">
        <v>57</v>
      </c>
      <c r="S44" s="28">
        <v>57</v>
      </c>
      <c r="T44" s="28">
        <v>57</v>
      </c>
      <c r="U44" s="28">
        <v>58</v>
      </c>
      <c r="V44" s="28">
        <v>58</v>
      </c>
      <c r="W44" s="28">
        <v>59</v>
      </c>
      <c r="X44" s="28">
        <v>59</v>
      </c>
      <c r="Y44" s="28">
        <v>60</v>
      </c>
      <c r="Z44" s="28">
        <v>60</v>
      </c>
      <c r="AA44" s="9">
        <f t="shared" ref="AA44:AB49" si="17">AVERAGEIF($C$6:$Z$6,AA$5,$C44:$Z44)</f>
        <v>52.333333333333336</v>
      </c>
      <c r="AB44" s="9">
        <f t="shared" si="17"/>
        <v>57.666666666666664</v>
      </c>
    </row>
    <row r="45" spans="1:29" x14ac:dyDescent="0.35">
      <c r="A45" s="5" t="s">
        <v>138</v>
      </c>
      <c r="B45" s="6" t="s">
        <v>99</v>
      </c>
      <c r="C45" s="28">
        <v>132</v>
      </c>
      <c r="D45" s="28">
        <v>133</v>
      </c>
      <c r="E45" s="28">
        <v>134</v>
      </c>
      <c r="F45" s="28">
        <v>134</v>
      </c>
      <c r="G45" s="28">
        <v>135</v>
      </c>
      <c r="H45" s="28">
        <v>136</v>
      </c>
      <c r="I45" s="28">
        <v>137</v>
      </c>
      <c r="J45" s="28">
        <v>137</v>
      </c>
      <c r="K45" s="28">
        <v>138</v>
      </c>
      <c r="L45" s="28">
        <v>139</v>
      </c>
      <c r="M45" s="28">
        <v>140</v>
      </c>
      <c r="N45" s="28">
        <v>141</v>
      </c>
      <c r="O45" s="28">
        <v>141</v>
      </c>
      <c r="P45" s="28">
        <v>142</v>
      </c>
      <c r="Q45" s="28">
        <v>143</v>
      </c>
      <c r="R45" s="28">
        <v>144</v>
      </c>
      <c r="S45" s="28">
        <v>145</v>
      </c>
      <c r="T45" s="28">
        <v>145</v>
      </c>
      <c r="U45" s="28">
        <v>146</v>
      </c>
      <c r="V45" s="28">
        <v>147</v>
      </c>
      <c r="W45" s="28">
        <v>148</v>
      </c>
      <c r="X45" s="28">
        <v>148</v>
      </c>
      <c r="Y45" s="28">
        <v>149</v>
      </c>
      <c r="Z45" s="28">
        <v>150</v>
      </c>
      <c r="AA45" s="9">
        <f t="shared" si="17"/>
        <v>136.33333333333334</v>
      </c>
      <c r="AB45" s="9">
        <f t="shared" si="17"/>
        <v>145.66666666666666</v>
      </c>
    </row>
    <row r="46" spans="1:29" x14ac:dyDescent="0.35">
      <c r="A46" s="5" t="s">
        <v>139</v>
      </c>
      <c r="B46" s="6" t="s">
        <v>99</v>
      </c>
      <c r="C46" s="28">
        <v>55</v>
      </c>
      <c r="D46" s="28">
        <v>55</v>
      </c>
      <c r="E46" s="28">
        <v>56</v>
      </c>
      <c r="F46" s="28">
        <v>56</v>
      </c>
      <c r="G46" s="28">
        <v>57</v>
      </c>
      <c r="H46" s="28">
        <v>57</v>
      </c>
      <c r="I46" s="28">
        <v>58</v>
      </c>
      <c r="J46" s="28">
        <v>58</v>
      </c>
      <c r="K46" s="28">
        <v>58</v>
      </c>
      <c r="L46" s="28">
        <v>59</v>
      </c>
      <c r="M46" s="28">
        <v>59</v>
      </c>
      <c r="N46" s="28">
        <v>60</v>
      </c>
      <c r="O46" s="28">
        <v>60</v>
      </c>
      <c r="P46" s="28">
        <v>61</v>
      </c>
      <c r="Q46" s="28">
        <v>61</v>
      </c>
      <c r="R46" s="28">
        <v>62</v>
      </c>
      <c r="S46" s="28">
        <v>62</v>
      </c>
      <c r="T46" s="28">
        <v>62</v>
      </c>
      <c r="U46" s="28">
        <v>63</v>
      </c>
      <c r="V46" s="28">
        <v>63</v>
      </c>
      <c r="W46" s="28">
        <v>64</v>
      </c>
      <c r="X46" s="28">
        <v>64</v>
      </c>
      <c r="Y46" s="28">
        <v>65</v>
      </c>
      <c r="Z46" s="28">
        <v>65</v>
      </c>
      <c r="AA46" s="9">
        <f t="shared" si="17"/>
        <v>57.333333333333336</v>
      </c>
      <c r="AB46" s="9">
        <f t="shared" si="17"/>
        <v>62.666666666666664</v>
      </c>
    </row>
    <row r="47" spans="1:29" x14ac:dyDescent="0.35">
      <c r="A47" s="5" t="s">
        <v>140</v>
      </c>
      <c r="B47" s="6" t="s">
        <v>99</v>
      </c>
      <c r="C47" s="28">
        <v>12</v>
      </c>
      <c r="D47" s="28">
        <v>12</v>
      </c>
      <c r="E47" s="28">
        <v>12</v>
      </c>
      <c r="F47" s="28">
        <v>12</v>
      </c>
      <c r="G47" s="28">
        <v>12</v>
      </c>
      <c r="H47" s="28">
        <v>12</v>
      </c>
      <c r="I47" s="28">
        <v>13</v>
      </c>
      <c r="J47" s="28">
        <v>13</v>
      </c>
      <c r="K47" s="28">
        <v>13</v>
      </c>
      <c r="L47" s="28">
        <v>13</v>
      </c>
      <c r="M47" s="28">
        <v>13</v>
      </c>
      <c r="N47" s="28">
        <v>13</v>
      </c>
      <c r="O47" s="28">
        <v>13</v>
      </c>
      <c r="P47" s="28">
        <v>13</v>
      </c>
      <c r="Q47" s="28">
        <v>13</v>
      </c>
      <c r="R47" s="28">
        <v>13</v>
      </c>
      <c r="S47" s="28">
        <v>13</v>
      </c>
      <c r="T47" s="28">
        <v>13</v>
      </c>
      <c r="U47" s="28">
        <v>14</v>
      </c>
      <c r="V47" s="28">
        <v>14</v>
      </c>
      <c r="W47" s="28">
        <v>14</v>
      </c>
      <c r="X47" s="28">
        <v>14</v>
      </c>
      <c r="Y47" s="28">
        <v>14</v>
      </c>
      <c r="Z47" s="28">
        <v>14</v>
      </c>
      <c r="AA47" s="9">
        <f t="shared" si="17"/>
        <v>12.5</v>
      </c>
      <c r="AB47" s="9">
        <f t="shared" si="17"/>
        <v>13.5</v>
      </c>
    </row>
    <row r="48" spans="1:29" x14ac:dyDescent="0.35">
      <c r="A48" s="5" t="s">
        <v>141</v>
      </c>
      <c r="B48" s="6" t="s">
        <v>99</v>
      </c>
      <c r="C48" s="28">
        <v>40</v>
      </c>
      <c r="D48" s="28">
        <v>40</v>
      </c>
      <c r="E48" s="28">
        <v>41</v>
      </c>
      <c r="F48" s="28">
        <v>41</v>
      </c>
      <c r="G48" s="28">
        <v>41</v>
      </c>
      <c r="H48" s="28">
        <v>41</v>
      </c>
      <c r="I48" s="28">
        <v>42</v>
      </c>
      <c r="J48" s="28">
        <v>42</v>
      </c>
      <c r="K48" s="28">
        <v>42</v>
      </c>
      <c r="L48" s="28">
        <v>42</v>
      </c>
      <c r="M48" s="28">
        <v>43</v>
      </c>
      <c r="N48" s="28">
        <v>43</v>
      </c>
      <c r="O48" s="28">
        <v>43</v>
      </c>
      <c r="P48" s="28">
        <v>43</v>
      </c>
      <c r="Q48" s="28">
        <v>44</v>
      </c>
      <c r="R48" s="28">
        <v>50</v>
      </c>
      <c r="S48" s="28">
        <v>50</v>
      </c>
      <c r="T48" s="28">
        <v>50</v>
      </c>
      <c r="U48" s="28">
        <v>51</v>
      </c>
      <c r="V48" s="28">
        <v>51</v>
      </c>
      <c r="W48" s="28">
        <v>51</v>
      </c>
      <c r="X48" s="28">
        <v>51</v>
      </c>
      <c r="Y48" s="28">
        <v>52</v>
      </c>
      <c r="Z48" s="28">
        <v>52</v>
      </c>
      <c r="AA48" s="9">
        <f t="shared" si="17"/>
        <v>41.5</v>
      </c>
      <c r="AB48" s="9">
        <f t="shared" si="17"/>
        <v>49</v>
      </c>
    </row>
    <row r="49" spans="1:29" x14ac:dyDescent="0.35">
      <c r="A49" s="5" t="s">
        <v>142</v>
      </c>
      <c r="B49" s="6" t="s">
        <v>99</v>
      </c>
      <c r="C49" s="28">
        <v>26</v>
      </c>
      <c r="D49" s="28">
        <v>26</v>
      </c>
      <c r="E49" s="28">
        <v>26</v>
      </c>
      <c r="F49" s="28">
        <v>27</v>
      </c>
      <c r="G49" s="28">
        <v>27</v>
      </c>
      <c r="H49" s="28">
        <v>27</v>
      </c>
      <c r="I49" s="28">
        <v>27</v>
      </c>
      <c r="J49" s="28">
        <v>27</v>
      </c>
      <c r="K49" s="28">
        <v>27</v>
      </c>
      <c r="L49" s="28">
        <v>28</v>
      </c>
      <c r="M49" s="28">
        <v>28</v>
      </c>
      <c r="N49" s="28">
        <v>28</v>
      </c>
      <c r="O49" s="28">
        <v>28</v>
      </c>
      <c r="P49" s="28">
        <v>28</v>
      </c>
      <c r="Q49" s="28">
        <v>28</v>
      </c>
      <c r="R49" s="28">
        <v>29</v>
      </c>
      <c r="S49" s="28">
        <v>29</v>
      </c>
      <c r="T49" s="28">
        <v>29</v>
      </c>
      <c r="U49" s="28">
        <v>29</v>
      </c>
      <c r="V49" s="28">
        <v>29</v>
      </c>
      <c r="W49" s="28">
        <v>29</v>
      </c>
      <c r="X49" s="28">
        <v>30</v>
      </c>
      <c r="Y49" s="28">
        <v>30</v>
      </c>
      <c r="Z49" s="28">
        <v>30</v>
      </c>
      <c r="AA49" s="9">
        <f t="shared" si="17"/>
        <v>27</v>
      </c>
      <c r="AB49" s="9">
        <f t="shared" si="17"/>
        <v>29</v>
      </c>
    </row>
    <row r="50" spans="1:29" x14ac:dyDescent="0.35">
      <c r="A50" s="32" t="s">
        <v>143</v>
      </c>
      <c r="B50" s="33" t="s">
        <v>99</v>
      </c>
      <c r="C50" s="38">
        <f t="shared" ref="C50:AB50" si="18">C44+C45+C46+C47+C48+C49</f>
        <v>315</v>
      </c>
      <c r="D50" s="38">
        <f t="shared" si="18"/>
        <v>316</v>
      </c>
      <c r="E50" s="38">
        <f t="shared" si="18"/>
        <v>320</v>
      </c>
      <c r="F50" s="38">
        <f t="shared" si="18"/>
        <v>321</v>
      </c>
      <c r="G50" s="38">
        <f t="shared" si="18"/>
        <v>324</v>
      </c>
      <c r="H50" s="38">
        <f t="shared" si="18"/>
        <v>325</v>
      </c>
      <c r="I50" s="38">
        <f t="shared" si="18"/>
        <v>330</v>
      </c>
      <c r="J50" s="38">
        <f t="shared" si="18"/>
        <v>330</v>
      </c>
      <c r="K50" s="38">
        <f t="shared" si="18"/>
        <v>331</v>
      </c>
      <c r="L50" s="38">
        <f t="shared" si="18"/>
        <v>335</v>
      </c>
      <c r="M50" s="38">
        <f t="shared" si="18"/>
        <v>337</v>
      </c>
      <c r="N50" s="38">
        <f t="shared" si="18"/>
        <v>340</v>
      </c>
      <c r="O50" s="38">
        <f t="shared" si="18"/>
        <v>340</v>
      </c>
      <c r="P50" s="38">
        <f t="shared" si="18"/>
        <v>343</v>
      </c>
      <c r="Q50" s="38">
        <f t="shared" si="18"/>
        <v>345</v>
      </c>
      <c r="R50" s="38">
        <f t="shared" si="18"/>
        <v>355</v>
      </c>
      <c r="S50" s="38">
        <f t="shared" si="18"/>
        <v>356</v>
      </c>
      <c r="T50" s="38">
        <f t="shared" si="18"/>
        <v>356</v>
      </c>
      <c r="U50" s="38">
        <f t="shared" si="18"/>
        <v>361</v>
      </c>
      <c r="V50" s="38">
        <f t="shared" si="18"/>
        <v>362</v>
      </c>
      <c r="W50" s="38">
        <f t="shared" si="18"/>
        <v>365</v>
      </c>
      <c r="X50" s="38">
        <f t="shared" si="18"/>
        <v>366</v>
      </c>
      <c r="Y50" s="38">
        <f t="shared" si="18"/>
        <v>370</v>
      </c>
      <c r="Z50" s="38">
        <f t="shared" si="18"/>
        <v>371</v>
      </c>
      <c r="AA50" s="38">
        <f t="shared" si="18"/>
        <v>327</v>
      </c>
      <c r="AB50" s="38">
        <f t="shared" si="18"/>
        <v>357.5</v>
      </c>
      <c r="AC50" s="35">
        <f>IF(AA50=0,"",AB50/AA50-1)</f>
        <v>9.32721712538227E-2</v>
      </c>
    </row>
    <row r="51" spans="1:29" x14ac:dyDescent="0.35">
      <c r="A51" s="7" t="s">
        <v>144</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x14ac:dyDescent="0.35">
      <c r="A52" s="5" t="s">
        <v>145</v>
      </c>
      <c r="B52" s="6" t="s">
        <v>108</v>
      </c>
      <c r="C52" s="37">
        <f t="shared" ref="C52:AB52" si="19">IF(C12=0,0,(C25+C26)/C12)</f>
        <v>0.33929548518929908</v>
      </c>
      <c r="D52" s="37">
        <f t="shared" si="19"/>
        <v>0.34075759349814583</v>
      </c>
      <c r="E52" s="37">
        <f t="shared" si="19"/>
        <v>0.33632234044251186</v>
      </c>
      <c r="F52" s="37">
        <f t="shared" si="19"/>
        <v>0.34208217627002246</v>
      </c>
      <c r="G52" s="37">
        <f t="shared" si="19"/>
        <v>0.34351185100746939</v>
      </c>
      <c r="H52" s="37">
        <f t="shared" si="19"/>
        <v>0.35845121716748674</v>
      </c>
      <c r="I52" s="37">
        <f t="shared" si="19"/>
        <v>0.32609707122554743</v>
      </c>
      <c r="J52" s="37">
        <f t="shared" si="19"/>
        <v>0.34049763644140812</v>
      </c>
      <c r="K52" s="37">
        <f t="shared" si="19"/>
        <v>0.33395629048912001</v>
      </c>
      <c r="L52" s="37">
        <f t="shared" si="19"/>
        <v>0.33319376026678826</v>
      </c>
      <c r="M52" s="37">
        <f t="shared" si="19"/>
        <v>0.33325079265809382</v>
      </c>
      <c r="N52" s="37">
        <f t="shared" si="19"/>
        <v>0.34297188838689896</v>
      </c>
      <c r="O52" s="37">
        <f t="shared" si="19"/>
        <v>0.33787604240534158</v>
      </c>
      <c r="P52" s="37">
        <f t="shared" si="19"/>
        <v>0.3368078977161485</v>
      </c>
      <c r="Q52" s="37">
        <f t="shared" si="19"/>
        <v>0.32588368941418472</v>
      </c>
      <c r="R52" s="37">
        <f t="shared" si="19"/>
        <v>0.32751576821042233</v>
      </c>
      <c r="S52" s="37">
        <f t="shared" si="19"/>
        <v>0.32486760133637621</v>
      </c>
      <c r="T52" s="37">
        <f t="shared" si="19"/>
        <v>0.34943737813581582</v>
      </c>
      <c r="U52" s="37">
        <f t="shared" si="19"/>
        <v>0.33362913884053547</v>
      </c>
      <c r="V52" s="37">
        <f t="shared" si="19"/>
        <v>0.32398505476561507</v>
      </c>
      <c r="W52" s="37">
        <f t="shared" si="19"/>
        <v>0.32270445436640477</v>
      </c>
      <c r="X52" s="37">
        <f t="shared" si="19"/>
        <v>0.32509511944517944</v>
      </c>
      <c r="Y52" s="37">
        <f t="shared" si="19"/>
        <v>0.33355316063982504</v>
      </c>
      <c r="Z52" s="37">
        <f t="shared" si="19"/>
        <v>0.32220672704143927</v>
      </c>
      <c r="AA52" s="37">
        <f t="shared" si="19"/>
        <v>0.33882108121092602</v>
      </c>
      <c r="AB52" s="37">
        <f t="shared" si="19"/>
        <v>0.33010784125723353</v>
      </c>
      <c r="AC52" s="30">
        <f>AB52-AA52</f>
        <v>-8.7132399536924976E-3</v>
      </c>
    </row>
    <row r="53" spans="1:29" x14ac:dyDescent="0.35">
      <c r="A53" s="5" t="s">
        <v>146</v>
      </c>
      <c r="B53" s="6" t="s">
        <v>108</v>
      </c>
      <c r="C53" s="37">
        <f t="shared" ref="C53:AB53" si="20">IF(C12=0,0,(C17+C20+C24+C28+C31+C34)/C12)</f>
        <v>0.12146557968523447</v>
      </c>
      <c r="D53" s="37">
        <f t="shared" si="20"/>
        <v>0.12338985716801572</v>
      </c>
      <c r="E53" s="37">
        <f t="shared" si="20"/>
        <v>0.12283356943475764</v>
      </c>
      <c r="F53" s="37">
        <f t="shared" si="20"/>
        <v>0.12325644618887924</v>
      </c>
      <c r="G53" s="37">
        <f t="shared" si="20"/>
        <v>0.1227943727630758</v>
      </c>
      <c r="H53" s="37">
        <f t="shared" si="20"/>
        <v>0.11307049129478111</v>
      </c>
      <c r="I53" s="37">
        <f t="shared" si="20"/>
        <v>9.1111066436921337E-2</v>
      </c>
      <c r="J53" s="37">
        <f t="shared" si="20"/>
        <v>9.6465592499658068E-2</v>
      </c>
      <c r="K53" s="37">
        <f t="shared" si="20"/>
        <v>0.10479398027447939</v>
      </c>
      <c r="L53" s="37">
        <f t="shared" si="20"/>
        <v>0.11070349580757055</v>
      </c>
      <c r="M53" s="37">
        <f t="shared" si="20"/>
        <v>0.11081817860986476</v>
      </c>
      <c r="N53" s="37">
        <f t="shared" si="20"/>
        <v>0.10733755952595472</v>
      </c>
      <c r="O53" s="37">
        <f t="shared" si="20"/>
        <v>0.1196608509118928</v>
      </c>
      <c r="P53" s="37">
        <f t="shared" si="20"/>
        <v>0.1167413819075592</v>
      </c>
      <c r="Q53" s="37">
        <f t="shared" si="20"/>
        <v>0.12057662107006412</v>
      </c>
      <c r="R53" s="37">
        <f t="shared" si="20"/>
        <v>0.12834649505119999</v>
      </c>
      <c r="S53" s="37">
        <f t="shared" si="20"/>
        <v>0.11634897433508033</v>
      </c>
      <c r="T53" s="37">
        <f t="shared" si="20"/>
        <v>0.11259237554693925</v>
      </c>
      <c r="U53" s="37">
        <f t="shared" si="20"/>
        <v>9.2567907406309685E-2</v>
      </c>
      <c r="V53" s="37">
        <f t="shared" si="20"/>
        <v>9.5992722234441302E-2</v>
      </c>
      <c r="W53" s="37">
        <f t="shared" si="20"/>
        <v>0.10418783503004889</v>
      </c>
      <c r="X53" s="37">
        <f t="shared" si="20"/>
        <v>0.10938078068102848</v>
      </c>
      <c r="Y53" s="37">
        <f t="shared" si="20"/>
        <v>0.10969449494889724</v>
      </c>
      <c r="Z53" s="37">
        <f t="shared" si="20"/>
        <v>0.10855016844236813</v>
      </c>
      <c r="AA53" s="37">
        <f t="shared" si="20"/>
        <v>0.11111506567086961</v>
      </c>
      <c r="AB53" s="37">
        <f t="shared" si="20"/>
        <v>0.1101226138420051</v>
      </c>
      <c r="AC53" s="30">
        <f>AB53-AA53</f>
        <v>-9.9245182886451011E-4</v>
      </c>
    </row>
    <row r="54" spans="1:29" x14ac:dyDescent="0.35">
      <c r="A54" s="5" t="s">
        <v>147</v>
      </c>
      <c r="B54" s="6" t="s">
        <v>101</v>
      </c>
      <c r="C54" s="9">
        <f t="shared" ref="C54:AB54" si="21">IF(C9=0,0,C21*100000/C9)</f>
        <v>45.087141574145178</v>
      </c>
      <c r="D54" s="9">
        <f t="shared" si="21"/>
        <v>45.369050107007467</v>
      </c>
      <c r="E54" s="9">
        <f t="shared" si="21"/>
        <v>46.421552528554074</v>
      </c>
      <c r="F54" s="9">
        <f t="shared" si="21"/>
        <v>45.577343649495525</v>
      </c>
      <c r="G54" s="9">
        <f t="shared" si="21"/>
        <v>46.006509764646971</v>
      </c>
      <c r="H54" s="9">
        <f t="shared" si="21"/>
        <v>47.24611259275737</v>
      </c>
      <c r="I54" s="9">
        <f t="shared" si="21"/>
        <v>46.174487288947745</v>
      </c>
      <c r="J54" s="9">
        <f t="shared" si="21"/>
        <v>46.99227278500279</v>
      </c>
      <c r="K54" s="9">
        <f t="shared" si="21"/>
        <v>45.910991286679952</v>
      </c>
      <c r="L54" s="9">
        <f t="shared" si="21"/>
        <v>50.462207222904937</v>
      </c>
      <c r="M54" s="9">
        <f t="shared" si="21"/>
        <v>49.964146632204397</v>
      </c>
      <c r="N54" s="9">
        <f t="shared" si="21"/>
        <v>50.503708035405758</v>
      </c>
      <c r="O54" s="9">
        <f t="shared" si="21"/>
        <v>51.481762482493679</v>
      </c>
      <c r="P54" s="9">
        <f t="shared" si="21"/>
        <v>49.595290001465216</v>
      </c>
      <c r="Q54" s="9">
        <f t="shared" si="21"/>
        <v>51.314444533771287</v>
      </c>
      <c r="R54" s="9">
        <f t="shared" si="21"/>
        <v>51.230558980731303</v>
      </c>
      <c r="S54" s="9">
        <f t="shared" si="21"/>
        <v>50.670224919982907</v>
      </c>
      <c r="T54" s="9">
        <f t="shared" si="21"/>
        <v>50.077325281684956</v>
      </c>
      <c r="U54" s="9">
        <f t="shared" si="21"/>
        <v>51.318054928706353</v>
      </c>
      <c r="V54" s="9">
        <f t="shared" si="21"/>
        <v>50.925372714684364</v>
      </c>
      <c r="W54" s="9">
        <f t="shared" si="21"/>
        <v>51.5736451420184</v>
      </c>
      <c r="X54" s="9">
        <f t="shared" si="21"/>
        <v>51.495821470473992</v>
      </c>
      <c r="Y54" s="9">
        <f t="shared" si="21"/>
        <v>52.784852553642857</v>
      </c>
      <c r="Z54" s="9">
        <f t="shared" si="21"/>
        <v>51.433961443314878</v>
      </c>
      <c r="AA54" s="9">
        <f t="shared" si="21"/>
        <v>47.205394165334347</v>
      </c>
      <c r="AB54" s="9">
        <f t="shared" si="21"/>
        <v>51.174784914793008</v>
      </c>
      <c r="AC54" s="30">
        <f>IF(AA54=0,"",AB54/AA54-1)</f>
        <v>8.4087651838179456E-2</v>
      </c>
    </row>
    <row r="55" spans="1:29" x14ac:dyDescent="0.35">
      <c r="A55" s="5" t="s">
        <v>148</v>
      </c>
      <c r="B55" s="6" t="s">
        <v>149</v>
      </c>
      <c r="C55" s="39">
        <f t="shared" ref="C55:AB55" si="22">IF((C25+C26)=0,0,C12/(C25+C26))</f>
        <v>2.9472835438469862</v>
      </c>
      <c r="D55" s="39">
        <f t="shared" si="22"/>
        <v>2.9346374639350223</v>
      </c>
      <c r="E55" s="39">
        <f t="shared" si="22"/>
        <v>2.9733380146090287</v>
      </c>
      <c r="F55" s="39">
        <f t="shared" si="22"/>
        <v>2.9232741995030174</v>
      </c>
      <c r="G55" s="39">
        <f t="shared" si="22"/>
        <v>2.9111077159846106</v>
      </c>
      <c r="H55" s="39">
        <f t="shared" si="22"/>
        <v>2.7897798978117261</v>
      </c>
      <c r="I55" s="39">
        <f t="shared" si="22"/>
        <v>3.0665715464471086</v>
      </c>
      <c r="J55" s="39">
        <f t="shared" si="22"/>
        <v>2.9368779485553849</v>
      </c>
      <c r="K55" s="39">
        <f t="shared" si="22"/>
        <v>2.9944038440940193</v>
      </c>
      <c r="L55" s="39">
        <f t="shared" si="22"/>
        <v>3.0012566837965391</v>
      </c>
      <c r="M55" s="39">
        <f t="shared" si="22"/>
        <v>3.0007430500727197</v>
      </c>
      <c r="N55" s="39">
        <f t="shared" si="22"/>
        <v>2.9156908593975559</v>
      </c>
      <c r="O55" s="39">
        <f t="shared" si="22"/>
        <v>2.9596653047105499</v>
      </c>
      <c r="P55" s="39">
        <f t="shared" si="22"/>
        <v>2.9690515180340866</v>
      </c>
      <c r="Q55" s="39">
        <f t="shared" si="22"/>
        <v>3.0685794732397342</v>
      </c>
      <c r="R55" s="39">
        <f t="shared" si="22"/>
        <v>3.0532881072080782</v>
      </c>
      <c r="S55" s="39">
        <f t="shared" si="22"/>
        <v>3.0781770662460564</v>
      </c>
      <c r="T55" s="39">
        <f t="shared" si="22"/>
        <v>2.8617430835098872</v>
      </c>
      <c r="U55" s="39">
        <f t="shared" si="22"/>
        <v>2.9973401108647453</v>
      </c>
      <c r="V55" s="39">
        <f t="shared" si="22"/>
        <v>3.0865621277606263</v>
      </c>
      <c r="W55" s="39">
        <f t="shared" si="22"/>
        <v>3.098810650021524</v>
      </c>
      <c r="X55" s="39">
        <f t="shared" si="22"/>
        <v>3.0760228012854847</v>
      </c>
      <c r="Y55" s="39">
        <f t="shared" si="22"/>
        <v>2.9980228581308896</v>
      </c>
      <c r="Z55" s="39">
        <f t="shared" si="22"/>
        <v>3.1035975231869979</v>
      </c>
      <c r="AA55" s="39">
        <f t="shared" si="22"/>
        <v>2.9514102145771468</v>
      </c>
      <c r="AB55" s="39">
        <f t="shared" si="22"/>
        <v>3.0293130759676781</v>
      </c>
      <c r="AC55" s="30">
        <f>IF(AA55=0,"",AB55/AA55-1)</f>
        <v>2.6395131725764687E-2</v>
      </c>
    </row>
    <row r="56" spans="1:29" x14ac:dyDescent="0.35">
      <c r="A56" s="5" t="s">
        <v>150</v>
      </c>
      <c r="B56" s="6" t="s">
        <v>104</v>
      </c>
      <c r="C56" s="9">
        <f t="shared" ref="C56:Z56" si="23">IF(C50=0,0,C12/(C50*1))</f>
        <v>7.7780216190476175</v>
      </c>
      <c r="D56" s="9">
        <f t="shared" si="23"/>
        <v>7.6607039367088605</v>
      </c>
      <c r="E56" s="9">
        <f t="shared" si="23"/>
        <v>7.75948305</v>
      </c>
      <c r="F56" s="9">
        <f t="shared" si="23"/>
        <v>7.6961340373831773</v>
      </c>
      <c r="G56" s="9">
        <f t="shared" si="23"/>
        <v>7.7063490370370378</v>
      </c>
      <c r="H56" s="9">
        <f t="shared" si="23"/>
        <v>8.316119276923077</v>
      </c>
      <c r="I56" s="9">
        <f t="shared" si="23"/>
        <v>10.383597109090909</v>
      </c>
      <c r="J56" s="9">
        <f t="shared" si="23"/>
        <v>9.826081645454547</v>
      </c>
      <c r="K56" s="9">
        <f t="shared" si="23"/>
        <v>9.1216235528700889</v>
      </c>
      <c r="L56" s="9">
        <f t="shared" si="23"/>
        <v>8.5423828298507463</v>
      </c>
      <c r="M56" s="9">
        <f t="shared" si="23"/>
        <v>8.5712618991097926</v>
      </c>
      <c r="N56" s="9">
        <f t="shared" si="23"/>
        <v>8.9108657999999998</v>
      </c>
      <c r="O56" s="9">
        <f t="shared" si="23"/>
        <v>8.5560441999999988</v>
      </c>
      <c r="P56" s="9">
        <f t="shared" si="23"/>
        <v>8.7357632419825073</v>
      </c>
      <c r="Q56" s="9">
        <f t="shared" si="23"/>
        <v>8.4256966231884061</v>
      </c>
      <c r="R56" s="9">
        <f t="shared" si="23"/>
        <v>8.0064954901408445</v>
      </c>
      <c r="S56" s="9">
        <f t="shared" si="23"/>
        <v>8.7710753258426966</v>
      </c>
      <c r="T56" s="9">
        <f t="shared" si="23"/>
        <v>9.1061308005617985</v>
      </c>
      <c r="U56" s="9">
        <f t="shared" si="23"/>
        <v>11.233798254847645</v>
      </c>
      <c r="V56" s="9">
        <f t="shared" si="23"/>
        <v>10.771419712707182</v>
      </c>
      <c r="W56" s="9">
        <f t="shared" si="23"/>
        <v>9.8610097808219184</v>
      </c>
      <c r="X56" s="9">
        <f t="shared" si="23"/>
        <v>9.4146468360655735</v>
      </c>
      <c r="Y56" s="9">
        <f t="shared" si="23"/>
        <v>9.3724676756756757</v>
      </c>
      <c r="Z56" s="9">
        <f t="shared" si="23"/>
        <v>9.4705734663072771</v>
      </c>
      <c r="AA56" s="9">
        <f>IF(AA50=0,0,AA12/(AA50*12))</f>
        <v>8.5352466804281359</v>
      </c>
      <c r="AB56" s="9">
        <f>IF(AB50=0,0,AB12/(AB50*12))</f>
        <v>9.3239996850815867</v>
      </c>
      <c r="AC56" s="30">
        <f>IF(AA56=0,"",AB56/AA56-1)</f>
        <v>9.2411272243848819E-2</v>
      </c>
    </row>
    <row r="57" spans="1:29" x14ac:dyDescent="0.35">
      <c r="A57" s="5" t="s">
        <v>151</v>
      </c>
      <c r="B57" s="6" t="s">
        <v>104</v>
      </c>
      <c r="C57" s="27">
        <f t="shared" ref="C57:Z57" si="24">IF(C50=0,0,(C17+C20+C24+C28+C31+C34)/(C50*1))</f>
        <v>0.9447619047619048</v>
      </c>
      <c r="D57" s="27">
        <f t="shared" si="24"/>
        <v>0.94525316455696196</v>
      </c>
      <c r="E57" s="27">
        <f t="shared" si="24"/>
        <v>0.953125</v>
      </c>
      <c r="F57" s="27">
        <f t="shared" si="24"/>
        <v>0.94859813084112155</v>
      </c>
      <c r="G57" s="27">
        <f t="shared" si="24"/>
        <v>0.94629629629629619</v>
      </c>
      <c r="H57" s="27">
        <f t="shared" si="24"/>
        <v>0.94030769230769218</v>
      </c>
      <c r="I57" s="27">
        <f t="shared" si="24"/>
        <v>0.94606060606060605</v>
      </c>
      <c r="J57" s="27">
        <f t="shared" si="24"/>
        <v>0.94787878787878788</v>
      </c>
      <c r="K57" s="27">
        <f t="shared" si="24"/>
        <v>0.95589123867069481</v>
      </c>
      <c r="L57" s="27">
        <f t="shared" si="24"/>
        <v>0.94567164179104479</v>
      </c>
      <c r="M57" s="27">
        <f t="shared" si="24"/>
        <v>0.94985163204747769</v>
      </c>
      <c r="N57" s="27">
        <f t="shared" si="24"/>
        <v>0.95647058823529407</v>
      </c>
      <c r="O57" s="27">
        <f t="shared" si="24"/>
        <v>1.0238235294117648</v>
      </c>
      <c r="P57" s="27">
        <f t="shared" si="24"/>
        <v>1.0198250728862974</v>
      </c>
      <c r="Q57" s="27">
        <f t="shared" si="24"/>
        <v>1.0159420289855072</v>
      </c>
      <c r="R57" s="27">
        <f t="shared" si="24"/>
        <v>1.027605633802817</v>
      </c>
      <c r="S57" s="27">
        <f t="shared" si="24"/>
        <v>1.020505617977528</v>
      </c>
      <c r="T57" s="27">
        <f t="shared" si="24"/>
        <v>1.0252808988764044</v>
      </c>
      <c r="U57" s="27">
        <f t="shared" si="24"/>
        <v>1.0398891966759003</v>
      </c>
      <c r="V57" s="27">
        <f t="shared" si="24"/>
        <v>1.0339779005524861</v>
      </c>
      <c r="W57" s="27">
        <f t="shared" si="24"/>
        <v>1.0273972602739727</v>
      </c>
      <c r="X57" s="27">
        <f t="shared" si="24"/>
        <v>1.0297814207650273</v>
      </c>
      <c r="Y57" s="27">
        <f t="shared" si="24"/>
        <v>1.028108108108108</v>
      </c>
      <c r="Z57" s="27">
        <f t="shared" si="24"/>
        <v>1.0280323450134772</v>
      </c>
      <c r="AA57" s="27">
        <f>IF(AA50=0,0,(AA17+AA20+AA24+AA28+AA31+AA34)/(AA50*12))</f>
        <v>0.94839449541284404</v>
      </c>
      <c r="AB57" s="27">
        <f>IF(AB50=0,0,(AB17+AB20+AB24+AB28+AB31+AB34)/(AB50*12))</f>
        <v>1.0267832167832167</v>
      </c>
      <c r="AC57" s="30">
        <f>IF(AA57=0,"",AB57/AA57-1)</f>
        <v>8.2654129425592471E-2</v>
      </c>
    </row>
    <row r="59" spans="1:29" x14ac:dyDescent="0.35">
      <c r="A59" s="7" t="s">
        <v>152</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spans="1:29" x14ac:dyDescent="0.35">
      <c r="A60" s="5" t="s">
        <v>153</v>
      </c>
      <c r="B60" s="6" t="s">
        <v>104</v>
      </c>
      <c r="C60" s="36">
        <v>0</v>
      </c>
      <c r="D60" s="36">
        <v>0</v>
      </c>
      <c r="E60" s="36">
        <v>0</v>
      </c>
      <c r="F60" s="36">
        <v>0</v>
      </c>
      <c r="G60" s="36">
        <v>120</v>
      </c>
      <c r="H60" s="36">
        <v>0</v>
      </c>
      <c r="I60" s="36">
        <v>0</v>
      </c>
      <c r="J60" s="36">
        <v>0</v>
      </c>
      <c r="K60" s="36">
        <v>0</v>
      </c>
      <c r="L60" s="36">
        <v>90</v>
      </c>
      <c r="M60" s="36">
        <v>0</v>
      </c>
      <c r="N60" s="36">
        <v>55</v>
      </c>
      <c r="O60" s="36">
        <v>0</v>
      </c>
      <c r="P60" s="36">
        <v>0</v>
      </c>
      <c r="Q60" s="36">
        <v>0</v>
      </c>
      <c r="R60" s="36">
        <v>0</v>
      </c>
      <c r="S60" s="36">
        <v>0</v>
      </c>
      <c r="T60" s="36">
        <v>0</v>
      </c>
      <c r="U60" s="36">
        <v>0</v>
      </c>
      <c r="V60" s="36">
        <v>0</v>
      </c>
      <c r="W60" s="36">
        <v>0</v>
      </c>
      <c r="X60" s="36">
        <v>0</v>
      </c>
      <c r="Y60" s="36">
        <v>0</v>
      </c>
      <c r="Z60" s="36">
        <v>0</v>
      </c>
      <c r="AA60" s="19">
        <f>SUMIF($C$6:$Z$6,AA$5,$C60:$Z60)</f>
        <v>265</v>
      </c>
      <c r="AB60" s="19">
        <f>SUMIF($C$6:$Z$6,AB$5,$C60:$Z60)</f>
        <v>0</v>
      </c>
    </row>
    <row r="62" spans="1:29" x14ac:dyDescent="0.35">
      <c r="A62" s="7" t="s">
        <v>154</v>
      </c>
      <c r="B62" s="8"/>
      <c r="C62" s="8"/>
      <c r="D62" s="8"/>
      <c r="E62" s="8"/>
      <c r="F62" s="8"/>
      <c r="G62" s="8"/>
      <c r="H62" s="8"/>
      <c r="I62" s="8"/>
      <c r="J62" s="8"/>
      <c r="K62" s="8"/>
      <c r="L62" s="8"/>
    </row>
    <row r="63" spans="1:29" x14ac:dyDescent="0.35">
      <c r="A63" s="17" t="s">
        <v>83</v>
      </c>
      <c r="B63" s="17" t="s">
        <v>155</v>
      </c>
      <c r="C63" s="17" t="s">
        <v>156</v>
      </c>
      <c r="D63" s="17"/>
      <c r="E63" s="17"/>
      <c r="F63" s="17"/>
      <c r="G63" s="17"/>
      <c r="H63" s="17"/>
      <c r="I63" s="17"/>
      <c r="J63" s="17"/>
      <c r="K63" s="17" t="s">
        <v>157</v>
      </c>
    </row>
    <row r="64" spans="1:29" x14ac:dyDescent="0.35">
      <c r="A64" s="40">
        <v>45505</v>
      </c>
      <c r="B64" s="5" t="s">
        <v>125</v>
      </c>
      <c r="C64" s="5" t="s">
        <v>158</v>
      </c>
      <c r="K64" s="5" t="s">
        <v>68</v>
      </c>
    </row>
    <row r="65" spans="1:11" x14ac:dyDescent="0.35">
      <c r="A65" s="40">
        <v>45536</v>
      </c>
      <c r="B65" s="5" t="s">
        <v>159</v>
      </c>
      <c r="C65" s="5" t="s">
        <v>160</v>
      </c>
      <c r="K65" s="5" t="s">
        <v>67</v>
      </c>
    </row>
    <row r="66" spans="1:11" x14ac:dyDescent="0.35">
      <c r="A66" s="40">
        <v>45658</v>
      </c>
      <c r="B66" s="5" t="s">
        <v>161</v>
      </c>
      <c r="C66" s="5" t="s">
        <v>162</v>
      </c>
      <c r="K66" s="5" t="s">
        <v>68</v>
      </c>
    </row>
    <row r="67" spans="1:11" x14ac:dyDescent="0.35">
      <c r="A67" s="40">
        <v>45658</v>
      </c>
      <c r="B67" s="5" t="s">
        <v>163</v>
      </c>
      <c r="C67" s="5" t="s">
        <v>164</v>
      </c>
      <c r="K67" s="5" t="s">
        <v>69</v>
      </c>
    </row>
    <row r="68" spans="1:11" x14ac:dyDescent="0.35">
      <c r="A68" s="40">
        <v>45717</v>
      </c>
      <c r="B68" s="5" t="s">
        <v>165</v>
      </c>
      <c r="C68" s="5" t="s">
        <v>166</v>
      </c>
      <c r="K68" s="5" t="s">
        <v>68</v>
      </c>
    </row>
    <row r="69" spans="1:11" x14ac:dyDescent="0.35">
      <c r="A69" s="40">
        <v>45748</v>
      </c>
      <c r="B69" s="5" t="s">
        <v>167</v>
      </c>
      <c r="C69" s="5" t="s">
        <v>168</v>
      </c>
      <c r="K69" s="5" t="s">
        <v>69</v>
      </c>
    </row>
    <row r="70" spans="1:11" x14ac:dyDescent="0.35">
      <c r="A70" s="40">
        <v>45839</v>
      </c>
      <c r="B70" s="5" t="s">
        <v>169</v>
      </c>
      <c r="C70" s="5" t="s">
        <v>170</v>
      </c>
      <c r="K70" s="5" t="s">
        <v>69</v>
      </c>
    </row>
    <row r="71" spans="1:11" x14ac:dyDescent="0.35">
      <c r="A71" s="40">
        <v>45901</v>
      </c>
      <c r="B71" s="5" t="s">
        <v>159</v>
      </c>
      <c r="C71" s="5" t="s">
        <v>160</v>
      </c>
      <c r="K71" s="5" t="s">
        <v>67</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A1:Q114"/>
  <sheetViews>
    <sheetView zoomScaleNormal="100" workbookViewId="0">
      <selection activeCell="E13" sqref="E13"/>
    </sheetView>
  </sheetViews>
  <sheetFormatPr defaultColWidth="8.6328125" defaultRowHeight="14.5" x14ac:dyDescent="0.35"/>
  <cols>
    <col min="1" max="1" width="52" customWidth="1"/>
    <col min="2" max="2" width="11" customWidth="1"/>
    <col min="3" max="17" width="13" customWidth="1"/>
  </cols>
  <sheetData>
    <row r="1" spans="1:17" ht="18" x14ac:dyDescent="0.4">
      <c r="A1" s="23" t="s">
        <v>171</v>
      </c>
    </row>
    <row r="2" spans="1:17" x14ac:dyDescent="0.35">
      <c r="A2" s="6" t="s">
        <v>172</v>
      </c>
    </row>
    <row r="3" spans="1:17" x14ac:dyDescent="0.35">
      <c r="A3" s="6" t="s">
        <v>173</v>
      </c>
    </row>
    <row r="5" spans="1:17" x14ac:dyDescent="0.35">
      <c r="A5" s="7" t="s">
        <v>174</v>
      </c>
      <c r="B5" s="8"/>
      <c r="C5" s="8"/>
      <c r="D5" s="8"/>
      <c r="E5" s="8"/>
      <c r="F5" s="8"/>
      <c r="G5" s="8"/>
      <c r="H5" s="8"/>
      <c r="I5" s="8"/>
      <c r="J5" s="8"/>
      <c r="K5" s="8"/>
      <c r="L5" s="8"/>
      <c r="M5" s="8"/>
      <c r="N5" s="8"/>
      <c r="O5" s="8"/>
      <c r="P5" s="8"/>
      <c r="Q5" s="8"/>
    </row>
    <row r="6" spans="1:17" x14ac:dyDescent="0.35">
      <c r="A6" s="5" t="s">
        <v>175</v>
      </c>
      <c r="B6" s="6" t="s">
        <v>176</v>
      </c>
      <c r="C6" s="41">
        <v>46266</v>
      </c>
      <c r="D6" s="6" t="s">
        <v>177</v>
      </c>
    </row>
    <row r="7" spans="1:17" x14ac:dyDescent="0.35">
      <c r="A7" s="5" t="s">
        <v>178</v>
      </c>
      <c r="B7" s="6" t="s">
        <v>179</v>
      </c>
      <c r="C7" s="42">
        <f>COUNTIF($C$61:$N$61,"&lt;="&amp;$C$6)</f>
        <v>6</v>
      </c>
    </row>
    <row r="8" spans="1:17" x14ac:dyDescent="0.35">
      <c r="A8" s="5" t="s">
        <v>180</v>
      </c>
      <c r="B8" s="6" t="s">
        <v>108</v>
      </c>
      <c r="C8" s="43">
        <v>0.05</v>
      </c>
      <c r="D8" s="6" t="s">
        <v>181</v>
      </c>
    </row>
    <row r="9" spans="1:17" x14ac:dyDescent="0.35">
      <c r="A9" s="5" t="s">
        <v>182</v>
      </c>
      <c r="B9" s="6" t="s">
        <v>104</v>
      </c>
      <c r="C9" s="44">
        <v>25</v>
      </c>
      <c r="D9" s="6" t="s">
        <v>183</v>
      </c>
    </row>
    <row r="10" spans="1:17" x14ac:dyDescent="0.35">
      <c r="A10" s="5" t="s">
        <v>184</v>
      </c>
      <c r="B10" s="6" t="s">
        <v>179</v>
      </c>
      <c r="C10" s="45">
        <v>3</v>
      </c>
      <c r="D10" s="6" t="s">
        <v>185</v>
      </c>
    </row>
    <row r="11" spans="1:17" x14ac:dyDescent="0.35">
      <c r="A11" s="5" t="s">
        <v>186</v>
      </c>
      <c r="B11" s="6" t="s">
        <v>179</v>
      </c>
      <c r="C11" s="45">
        <v>2</v>
      </c>
      <c r="D11" s="6" t="s">
        <v>187</v>
      </c>
    </row>
    <row r="12" spans="1:17" x14ac:dyDescent="0.35">
      <c r="A12" s="5" t="s">
        <v>188</v>
      </c>
      <c r="B12" s="6" t="s">
        <v>108</v>
      </c>
      <c r="C12" s="43">
        <v>0.5</v>
      </c>
      <c r="D12" s="6" t="s">
        <v>189</v>
      </c>
    </row>
    <row r="14" spans="1:17" x14ac:dyDescent="0.35">
      <c r="A14" s="7" t="s">
        <v>190</v>
      </c>
      <c r="B14" s="8"/>
      <c r="C14" s="8"/>
      <c r="D14" s="8"/>
      <c r="E14" s="8"/>
      <c r="F14" s="8"/>
      <c r="G14" s="8"/>
      <c r="H14" s="8"/>
      <c r="I14" s="8"/>
      <c r="J14" s="8"/>
      <c r="K14" s="8"/>
      <c r="L14" s="8"/>
      <c r="M14" s="8"/>
      <c r="N14" s="8"/>
      <c r="O14" s="8"/>
      <c r="P14" s="8"/>
      <c r="Q14" s="8"/>
    </row>
    <row r="15" spans="1:17" x14ac:dyDescent="0.35">
      <c r="A15" s="5" t="s">
        <v>191</v>
      </c>
      <c r="B15" s="6" t="s">
        <v>108</v>
      </c>
      <c r="C15" s="43">
        <v>0.09</v>
      </c>
      <c r="D15" s="6" t="s">
        <v>192</v>
      </c>
    </row>
    <row r="16" spans="1:17" x14ac:dyDescent="0.35">
      <c r="A16" s="5" t="s">
        <v>193</v>
      </c>
      <c r="B16" s="6" t="s">
        <v>194</v>
      </c>
      <c r="C16" s="46">
        <v>3.0000000000000001E-3</v>
      </c>
      <c r="D16" s="6" t="s">
        <v>195</v>
      </c>
    </row>
    <row r="18" spans="1:17" x14ac:dyDescent="0.35">
      <c r="A18" s="7" t="s">
        <v>196</v>
      </c>
      <c r="B18" s="8"/>
      <c r="C18" s="8"/>
      <c r="D18" s="8"/>
      <c r="E18" s="8"/>
      <c r="F18" s="8"/>
      <c r="G18" s="8"/>
      <c r="H18" s="8"/>
      <c r="I18" s="8"/>
      <c r="J18" s="8"/>
      <c r="K18" s="8"/>
      <c r="L18" s="8"/>
      <c r="M18" s="8"/>
      <c r="N18" s="8"/>
      <c r="O18" s="8"/>
      <c r="P18" s="8"/>
      <c r="Q18" s="8"/>
    </row>
    <row r="19" spans="1:17" x14ac:dyDescent="0.35">
      <c r="A19" s="5" t="s">
        <v>197</v>
      </c>
      <c r="B19" s="6" t="s">
        <v>108</v>
      </c>
      <c r="C19" s="43">
        <v>0.69</v>
      </c>
      <c r="D19" s="6" t="s">
        <v>198</v>
      </c>
    </row>
    <row r="20" spans="1:17" x14ac:dyDescent="0.35">
      <c r="A20" s="5" t="s">
        <v>199</v>
      </c>
      <c r="B20" s="6" t="s">
        <v>108</v>
      </c>
      <c r="C20" s="43">
        <v>0.03</v>
      </c>
      <c r="D20" s="6" t="s">
        <v>200</v>
      </c>
    </row>
    <row r="21" spans="1:17" x14ac:dyDescent="0.35">
      <c r="A21" s="5" t="s">
        <v>201</v>
      </c>
      <c r="B21" s="6" t="s">
        <v>101</v>
      </c>
      <c r="C21" s="9">
        <f>'Historical Data'!$AB$21*100000/'Historical Data'!$AB$9</f>
        <v>51.174784914793008</v>
      </c>
      <c r="D21" s="6" t="s">
        <v>202</v>
      </c>
    </row>
    <row r="22" spans="1:17" x14ac:dyDescent="0.35">
      <c r="A22" s="5" t="s">
        <v>203</v>
      </c>
      <c r="B22" s="6" t="s">
        <v>108</v>
      </c>
      <c r="C22" s="43">
        <v>0.02</v>
      </c>
    </row>
    <row r="23" spans="1:17" x14ac:dyDescent="0.35">
      <c r="A23" s="5" t="s">
        <v>204</v>
      </c>
      <c r="B23" s="6" t="s">
        <v>101</v>
      </c>
      <c r="C23" s="9">
        <f>C21*(1+C22)</f>
        <v>52.198280613088869</v>
      </c>
    </row>
    <row r="24" spans="1:17" x14ac:dyDescent="0.35">
      <c r="A24" s="5" t="s">
        <v>205</v>
      </c>
      <c r="B24" s="6" t="s">
        <v>108</v>
      </c>
      <c r="C24" s="43">
        <v>0.215</v>
      </c>
      <c r="D24" s="6" t="s">
        <v>206</v>
      </c>
    </row>
    <row r="25" spans="1:17" x14ac:dyDescent="0.35">
      <c r="A25" s="5" t="s">
        <v>207</v>
      </c>
      <c r="B25" s="6" t="s">
        <v>108</v>
      </c>
      <c r="C25" s="43">
        <v>0.1</v>
      </c>
      <c r="D25" s="6" t="s">
        <v>208</v>
      </c>
    </row>
    <row r="26" spans="1:17" x14ac:dyDescent="0.35">
      <c r="A26" s="5" t="s">
        <v>209</v>
      </c>
      <c r="B26" s="6" t="s">
        <v>108</v>
      </c>
      <c r="C26" s="43">
        <v>0.08</v>
      </c>
      <c r="D26" s="6" t="s">
        <v>210</v>
      </c>
    </row>
    <row r="27" spans="1:17" x14ac:dyDescent="0.35">
      <c r="A27" s="5" t="s">
        <v>211</v>
      </c>
      <c r="B27" s="6" t="s">
        <v>108</v>
      </c>
      <c r="C27" s="43">
        <v>0.06</v>
      </c>
      <c r="D27" s="6" t="s">
        <v>212</v>
      </c>
    </row>
    <row r="28" spans="1:17" x14ac:dyDescent="0.35">
      <c r="A28" s="5" t="s">
        <v>213</v>
      </c>
      <c r="B28" s="6" t="s">
        <v>108</v>
      </c>
      <c r="C28" s="43">
        <v>0.05</v>
      </c>
    </row>
    <row r="29" spans="1:17" x14ac:dyDescent="0.35">
      <c r="A29" s="5" t="s">
        <v>214</v>
      </c>
      <c r="B29" s="6" t="s">
        <v>108</v>
      </c>
      <c r="C29" s="43">
        <v>0.12</v>
      </c>
      <c r="D29" s="6" t="s">
        <v>215</v>
      </c>
    </row>
    <row r="30" spans="1:17" x14ac:dyDescent="0.35">
      <c r="A30" s="5" t="s">
        <v>216</v>
      </c>
      <c r="B30" s="6" t="s">
        <v>108</v>
      </c>
      <c r="C30" s="43">
        <v>0.06</v>
      </c>
    </row>
    <row r="31" spans="1:17" x14ac:dyDescent="0.35">
      <c r="A31" s="5" t="s">
        <v>217</v>
      </c>
      <c r="B31" s="6" t="s">
        <v>108</v>
      </c>
      <c r="C31" s="43">
        <v>0.08</v>
      </c>
    </row>
    <row r="33" spans="1:17" x14ac:dyDescent="0.35">
      <c r="A33" s="7" t="s">
        <v>218</v>
      </c>
      <c r="B33" s="8"/>
      <c r="C33" s="8"/>
      <c r="D33" s="8"/>
      <c r="E33" s="8"/>
      <c r="F33" s="8"/>
      <c r="G33" s="8"/>
      <c r="H33" s="8"/>
      <c r="I33" s="8"/>
      <c r="J33" s="8"/>
      <c r="K33" s="8"/>
      <c r="L33" s="8"/>
      <c r="M33" s="8"/>
      <c r="N33" s="8"/>
      <c r="O33" s="8"/>
      <c r="P33" s="8"/>
      <c r="Q33" s="8"/>
    </row>
    <row r="34" spans="1:17" x14ac:dyDescent="0.35">
      <c r="A34" s="5" t="s">
        <v>57</v>
      </c>
      <c r="B34" s="6" t="s">
        <v>104</v>
      </c>
      <c r="C34" s="21">
        <f>SUM('Historical Data'!$X$17:$Z$17)/SUM('Historical Data'!$X$44:$Z$44)*(1+$C$26)</f>
        <v>1.1867932960893857</v>
      </c>
    </row>
    <row r="35" spans="1:17" x14ac:dyDescent="0.35">
      <c r="A35" s="5" t="s">
        <v>58</v>
      </c>
      <c r="B35" s="6" t="s">
        <v>104</v>
      </c>
      <c r="C35" s="21">
        <f>SUM('Historical Data'!$X$20:$Z$20)/SUM('Historical Data'!$X$45:$Z$45)*(1+$C$26)</f>
        <v>0.67288590604026843</v>
      </c>
    </row>
    <row r="36" spans="1:17" x14ac:dyDescent="0.35">
      <c r="A36" s="5" t="s">
        <v>59</v>
      </c>
      <c r="B36" s="6" t="s">
        <v>104</v>
      </c>
      <c r="C36" s="21">
        <f>SUM('Historical Data'!$X$24:$Z$24)/SUM('Historical Data'!$X$46:$Z$46)*(1+$C$26)</f>
        <v>1.4006597938144332</v>
      </c>
    </row>
    <row r="37" spans="1:17" x14ac:dyDescent="0.35">
      <c r="A37" s="5" t="s">
        <v>219</v>
      </c>
      <c r="B37" s="6" t="s">
        <v>104</v>
      </c>
      <c r="C37" s="21">
        <f>SUM('Historical Data'!$X$28:$Z$28)/SUM('Historical Data'!$X$47:$Z$47)*(1+$C$26)</f>
        <v>1.0722857142857143</v>
      </c>
    </row>
    <row r="38" spans="1:17" x14ac:dyDescent="0.35">
      <c r="A38" s="5" t="s">
        <v>60</v>
      </c>
      <c r="B38" s="6" t="s">
        <v>104</v>
      </c>
      <c r="C38" s="21">
        <f>SUM('Historical Data'!$X$31:$Z$31)/SUM('Historical Data'!$X$48:$Z$48)*(1+$C$26)</f>
        <v>1.8185806451612905</v>
      </c>
    </row>
    <row r="39" spans="1:17" x14ac:dyDescent="0.35">
      <c r="A39" s="5" t="s">
        <v>220</v>
      </c>
      <c r="B39" s="6" t="s">
        <v>104</v>
      </c>
      <c r="C39" s="21">
        <f>SUM('Historical Data'!$X$34:$Z$34)/SUM('Historical Data'!$X$49:$Z$49)*(1+$C$26)</f>
        <v>1.3103999999999998</v>
      </c>
    </row>
    <row r="41" spans="1:17" x14ac:dyDescent="0.35">
      <c r="A41" s="7" t="s">
        <v>221</v>
      </c>
      <c r="B41" s="8"/>
      <c r="C41" s="8"/>
      <c r="D41" s="8"/>
      <c r="E41" s="8"/>
      <c r="F41" s="8"/>
      <c r="G41" s="8"/>
      <c r="H41" s="8"/>
      <c r="I41" s="8"/>
      <c r="J41" s="8"/>
      <c r="K41" s="8"/>
      <c r="L41" s="8"/>
      <c r="M41" s="8"/>
      <c r="N41" s="8"/>
      <c r="O41" s="8"/>
      <c r="P41" s="8"/>
      <c r="Q41" s="8"/>
    </row>
    <row r="42" spans="1:17" x14ac:dyDescent="0.35">
      <c r="A42" s="17" t="s">
        <v>89</v>
      </c>
      <c r="B42" s="17" t="s">
        <v>222</v>
      </c>
      <c r="C42" s="17" t="s">
        <v>223</v>
      </c>
      <c r="D42" s="17" t="s">
        <v>157</v>
      </c>
      <c r="E42" s="17" t="s">
        <v>224</v>
      </c>
    </row>
    <row r="43" spans="1:17" x14ac:dyDescent="0.35">
      <c r="A43" s="5" t="s">
        <v>103</v>
      </c>
      <c r="B43" s="5" t="s">
        <v>225</v>
      </c>
      <c r="C43" s="5" t="s">
        <v>226</v>
      </c>
      <c r="D43" s="5" t="s">
        <v>227</v>
      </c>
      <c r="E43" s="13" t="s">
        <v>228</v>
      </c>
    </row>
    <row r="44" spans="1:17" x14ac:dyDescent="0.35">
      <c r="A44" s="5" t="s">
        <v>105</v>
      </c>
      <c r="B44" s="5" t="s">
        <v>225</v>
      </c>
      <c r="C44" s="5" t="s">
        <v>229</v>
      </c>
      <c r="D44" s="5" t="s">
        <v>230</v>
      </c>
      <c r="E44" s="13" t="s">
        <v>55</v>
      </c>
    </row>
    <row r="45" spans="1:17" x14ac:dyDescent="0.35">
      <c r="A45" s="5" t="s">
        <v>110</v>
      </c>
      <c r="B45" s="5" t="s">
        <v>57</v>
      </c>
      <c r="C45" s="5" t="s">
        <v>229</v>
      </c>
      <c r="D45" s="5" t="s">
        <v>231</v>
      </c>
      <c r="E45" s="13" t="s">
        <v>228</v>
      </c>
    </row>
    <row r="46" spans="1:17" x14ac:dyDescent="0.35">
      <c r="A46" s="5" t="s">
        <v>111</v>
      </c>
      <c r="B46" s="5" t="s">
        <v>57</v>
      </c>
      <c r="C46" s="5" t="s">
        <v>229</v>
      </c>
      <c r="D46" s="5" t="s">
        <v>230</v>
      </c>
      <c r="E46" s="13" t="s">
        <v>55</v>
      </c>
    </row>
    <row r="47" spans="1:17" x14ac:dyDescent="0.35">
      <c r="A47" s="5" t="s">
        <v>113</v>
      </c>
      <c r="B47" s="5" t="s">
        <v>58</v>
      </c>
      <c r="C47" s="5" t="s">
        <v>229</v>
      </c>
      <c r="D47" s="5" t="s">
        <v>231</v>
      </c>
      <c r="E47" s="13" t="s">
        <v>228</v>
      </c>
    </row>
    <row r="48" spans="1:17" x14ac:dyDescent="0.35">
      <c r="A48" s="5" t="s">
        <v>114</v>
      </c>
      <c r="B48" s="5" t="s">
        <v>58</v>
      </c>
      <c r="C48" s="5" t="s">
        <v>229</v>
      </c>
      <c r="D48" s="5" t="s">
        <v>230</v>
      </c>
      <c r="E48" s="13" t="s">
        <v>232</v>
      </c>
    </row>
    <row r="49" spans="1:17" x14ac:dyDescent="0.35">
      <c r="A49" s="5" t="s">
        <v>115</v>
      </c>
      <c r="B49" s="5" t="s">
        <v>58</v>
      </c>
      <c r="C49" s="5" t="s">
        <v>229</v>
      </c>
      <c r="D49" s="5" t="s">
        <v>231</v>
      </c>
      <c r="E49" s="13" t="s">
        <v>228</v>
      </c>
    </row>
    <row r="50" spans="1:17" x14ac:dyDescent="0.35">
      <c r="A50" s="5" t="s">
        <v>117</v>
      </c>
      <c r="B50" s="5" t="s">
        <v>59</v>
      </c>
      <c r="C50" s="5" t="s">
        <v>229</v>
      </c>
      <c r="D50" s="5" t="s">
        <v>231</v>
      </c>
      <c r="E50" s="13" t="s">
        <v>228</v>
      </c>
    </row>
    <row r="51" spans="1:17" x14ac:dyDescent="0.35">
      <c r="A51" s="5" t="s">
        <v>118</v>
      </c>
      <c r="B51" s="5" t="s">
        <v>59</v>
      </c>
      <c r="C51" s="5" t="s">
        <v>229</v>
      </c>
      <c r="D51" s="5" t="s">
        <v>233</v>
      </c>
      <c r="E51" s="13" t="s">
        <v>228</v>
      </c>
    </row>
    <row r="52" spans="1:17" x14ac:dyDescent="0.35">
      <c r="A52" s="5" t="s">
        <v>119</v>
      </c>
      <c r="B52" s="5" t="s">
        <v>59</v>
      </c>
      <c r="C52" s="5" t="s">
        <v>229</v>
      </c>
      <c r="D52" s="5" t="s">
        <v>233</v>
      </c>
      <c r="E52" s="13" t="s">
        <v>228</v>
      </c>
    </row>
    <row r="53" spans="1:17" x14ac:dyDescent="0.35">
      <c r="A53" s="5" t="s">
        <v>121</v>
      </c>
      <c r="B53" s="5" t="s">
        <v>219</v>
      </c>
      <c r="C53" s="5" t="s">
        <v>229</v>
      </c>
      <c r="D53" s="5" t="s">
        <v>231</v>
      </c>
      <c r="E53" s="13" t="s">
        <v>228</v>
      </c>
    </row>
    <row r="54" spans="1:17" x14ac:dyDescent="0.35">
      <c r="A54" s="5" t="s">
        <v>122</v>
      </c>
      <c r="B54" s="5" t="s">
        <v>219</v>
      </c>
      <c r="C54" s="5" t="s">
        <v>229</v>
      </c>
      <c r="D54" s="5" t="s">
        <v>233</v>
      </c>
      <c r="E54" s="13" t="s">
        <v>228</v>
      </c>
    </row>
    <row r="55" spans="1:17" x14ac:dyDescent="0.35">
      <c r="A55" s="5" t="s">
        <v>124</v>
      </c>
      <c r="B55" s="5" t="s">
        <v>60</v>
      </c>
      <c r="C55" s="5" t="s">
        <v>229</v>
      </c>
      <c r="D55" s="5" t="s">
        <v>231</v>
      </c>
      <c r="E55" s="13" t="s">
        <v>228</v>
      </c>
    </row>
    <row r="56" spans="1:17" x14ac:dyDescent="0.35">
      <c r="A56" s="5" t="s">
        <v>125</v>
      </c>
      <c r="B56" s="5" t="s">
        <v>60</v>
      </c>
      <c r="C56" s="5" t="s">
        <v>229</v>
      </c>
      <c r="D56" s="5" t="s">
        <v>231</v>
      </c>
      <c r="E56" s="13" t="s">
        <v>228</v>
      </c>
    </row>
    <row r="57" spans="1:17" x14ac:dyDescent="0.35">
      <c r="A57" s="5" t="s">
        <v>127</v>
      </c>
      <c r="B57" s="5" t="s">
        <v>220</v>
      </c>
      <c r="C57" s="5" t="s">
        <v>229</v>
      </c>
      <c r="D57" s="5" t="s">
        <v>231</v>
      </c>
      <c r="E57" s="13" t="s">
        <v>228</v>
      </c>
    </row>
    <row r="58" spans="1:17" x14ac:dyDescent="0.35">
      <c r="A58" s="5" t="s">
        <v>128</v>
      </c>
      <c r="B58" s="5" t="s">
        <v>220</v>
      </c>
      <c r="C58" s="5" t="s">
        <v>229</v>
      </c>
      <c r="D58" s="5" t="s">
        <v>231</v>
      </c>
      <c r="E58" s="13" t="s">
        <v>228</v>
      </c>
    </row>
    <row r="60" spans="1:17" ht="15.5" x14ac:dyDescent="0.35">
      <c r="A60" s="47" t="s">
        <v>234</v>
      </c>
    </row>
    <row r="61" spans="1:17" ht="27.75" customHeight="1" x14ac:dyDescent="0.35">
      <c r="A61" s="17" t="s">
        <v>89</v>
      </c>
      <c r="B61" s="17" t="s">
        <v>90</v>
      </c>
      <c r="C61" s="24">
        <v>46113</v>
      </c>
      <c r="D61" s="24">
        <v>46143</v>
      </c>
      <c r="E61" s="24">
        <v>46174</v>
      </c>
      <c r="F61" s="24">
        <v>46204</v>
      </c>
      <c r="G61" s="24">
        <v>46235</v>
      </c>
      <c r="H61" s="24">
        <v>46266</v>
      </c>
      <c r="I61" s="24">
        <v>46296</v>
      </c>
      <c r="J61" s="24">
        <v>46327</v>
      </c>
      <c r="K61" s="24">
        <v>46357</v>
      </c>
      <c r="L61" s="24">
        <v>46388</v>
      </c>
      <c r="M61" s="24">
        <v>46419</v>
      </c>
      <c r="N61" s="24">
        <v>46447</v>
      </c>
      <c r="O61" s="17" t="s">
        <v>235</v>
      </c>
      <c r="P61" s="17" t="s">
        <v>236</v>
      </c>
      <c r="Q61" s="17" t="s">
        <v>237</v>
      </c>
    </row>
    <row r="62" spans="1:17" x14ac:dyDescent="0.35">
      <c r="A62" s="7" t="s">
        <v>95</v>
      </c>
      <c r="B62" s="8"/>
      <c r="C62" s="8"/>
      <c r="D62" s="8"/>
      <c r="E62" s="8"/>
      <c r="F62" s="8"/>
      <c r="G62" s="8"/>
      <c r="H62" s="8"/>
      <c r="I62" s="8"/>
      <c r="J62" s="8"/>
      <c r="K62" s="8"/>
      <c r="L62" s="8"/>
      <c r="M62" s="8"/>
      <c r="N62" s="8"/>
      <c r="O62" s="8"/>
      <c r="P62" s="8"/>
      <c r="Q62" s="8"/>
    </row>
    <row r="63" spans="1:17" x14ac:dyDescent="0.35">
      <c r="A63" s="5" t="s">
        <v>96</v>
      </c>
      <c r="B63" s="6" t="s">
        <v>97</v>
      </c>
      <c r="C63" s="26">
        <v>0.95</v>
      </c>
      <c r="D63" s="26">
        <v>0.95</v>
      </c>
      <c r="E63" s="26">
        <v>0.92</v>
      </c>
      <c r="F63" s="26">
        <v>0.9</v>
      </c>
      <c r="G63" s="26">
        <v>0.95</v>
      </c>
      <c r="H63" s="26">
        <v>1</v>
      </c>
      <c r="I63" s="26">
        <v>1.2</v>
      </c>
      <c r="J63" s="26">
        <v>1.1499999999999999</v>
      </c>
      <c r="K63" s="26">
        <v>1.05</v>
      </c>
      <c r="L63" s="26">
        <v>1</v>
      </c>
      <c r="M63" s="26">
        <v>0.95</v>
      </c>
      <c r="N63" s="26">
        <v>0.98</v>
      </c>
      <c r="O63" s="27">
        <f>SUM($C63:$N63)</f>
        <v>12</v>
      </c>
    </row>
    <row r="64" spans="1:17" x14ac:dyDescent="0.35">
      <c r="A64" s="5" t="s">
        <v>98</v>
      </c>
      <c r="B64" s="6" t="s">
        <v>99</v>
      </c>
      <c r="C64" s="29">
        <f>'Historical Data'!$AB$9*(1+$C$15)*C63/SUM($C$63:$N$63)</f>
        <v>506521.98720833333</v>
      </c>
      <c r="D64" s="29">
        <f>'Historical Data'!$AB$9*(1+$C$15)*D63/SUM($C$63:$N$63)</f>
        <v>506521.98720833333</v>
      </c>
      <c r="E64" s="29">
        <f>'Historical Data'!$AB$9*(1+$C$15)*E63/SUM($C$63:$N$63)</f>
        <v>490526.55603333336</v>
      </c>
      <c r="F64" s="29">
        <f>'Historical Data'!$AB$9*(1+$C$15)*F63/SUM($C$63:$N$63)</f>
        <v>479862.9352500001</v>
      </c>
      <c r="G64" s="29">
        <f>'Historical Data'!$AB$9*(1+$C$15)*G63/SUM($C$63:$N$63)</f>
        <v>506521.98720833333</v>
      </c>
      <c r="H64" s="29">
        <f>'Historical Data'!$AB$9*(1+$C$15)*H63/SUM($C$63:$N$63)</f>
        <v>533181.03916666668</v>
      </c>
      <c r="I64" s="29">
        <f>'Historical Data'!$AB$9*(1+$C$15)*I63/SUM($C$63:$N$63)</f>
        <v>639817.24700000009</v>
      </c>
      <c r="J64" s="29">
        <f>'Historical Data'!$AB$9*(1+$C$15)*J63/SUM($C$63:$N$63)</f>
        <v>613158.19504166662</v>
      </c>
      <c r="K64" s="29">
        <f>'Historical Data'!$AB$9*(1+$C$15)*K63/SUM($C$63:$N$63)</f>
        <v>559840.09112500015</v>
      </c>
      <c r="L64" s="29">
        <f>'Historical Data'!$AB$9*(1+$C$15)*L63/SUM($C$63:$N$63)</f>
        <v>533181.03916666668</v>
      </c>
      <c r="M64" s="29">
        <f>'Historical Data'!$AB$9*(1+$C$15)*M63/SUM($C$63:$N$63)</f>
        <v>506521.98720833333</v>
      </c>
      <c r="N64" s="29">
        <f>'Historical Data'!$AB$9*(1+$C$15)*N63/SUM($C$63:$N$63)</f>
        <v>522517.41838333337</v>
      </c>
      <c r="O64" s="29">
        <f>SUM($C64:$N64)</f>
        <v>6398172.4700000007</v>
      </c>
      <c r="P64" s="48">
        <f>'Historical Data'!AB9</f>
        <v>5869883</v>
      </c>
      <c r="Q64" s="30">
        <f>IF(P64=0,"",O64/P64-1)</f>
        <v>9.000000000000008E-2</v>
      </c>
    </row>
    <row r="65" spans="1:17" x14ac:dyDescent="0.35">
      <c r="A65" s="5" t="s">
        <v>100</v>
      </c>
      <c r="B65" s="6" t="s">
        <v>101</v>
      </c>
      <c r="C65" s="9">
        <f>'Historical Data'!$Z$10*(1+$C$16)</f>
        <v>696.88439999999991</v>
      </c>
      <c r="D65" s="9">
        <f t="shared" ref="D65:N65" si="0">C65*(1+$C$16)</f>
        <v>698.97505319999982</v>
      </c>
      <c r="E65" s="9">
        <f t="shared" si="0"/>
        <v>701.07197835959971</v>
      </c>
      <c r="F65" s="9">
        <f t="shared" si="0"/>
        <v>703.17519429467848</v>
      </c>
      <c r="G65" s="9">
        <f t="shared" si="0"/>
        <v>705.28471987756245</v>
      </c>
      <c r="H65" s="9">
        <f t="shared" si="0"/>
        <v>707.40057403719504</v>
      </c>
      <c r="I65" s="9">
        <f t="shared" si="0"/>
        <v>709.52277575930657</v>
      </c>
      <c r="J65" s="9">
        <f t="shared" si="0"/>
        <v>711.65134408658446</v>
      </c>
      <c r="K65" s="9">
        <f t="shared" si="0"/>
        <v>713.78629811884412</v>
      </c>
      <c r="L65" s="9">
        <f t="shared" si="0"/>
        <v>715.92765701320059</v>
      </c>
      <c r="M65" s="9">
        <f t="shared" si="0"/>
        <v>718.07543998424012</v>
      </c>
      <c r="N65" s="9">
        <f t="shared" si="0"/>
        <v>720.22966630419273</v>
      </c>
      <c r="O65" s="9">
        <f>IF(O64=0,0,O67*100000/O64)</f>
        <v>708.71315175239874</v>
      </c>
      <c r="P65" s="49">
        <f>'Historical Data'!AB10</f>
        <v>681.44388310635838</v>
      </c>
      <c r="Q65" s="30">
        <f>IF(P65=0,"",O65/P65-1)</f>
        <v>4.0016895480422532E-2</v>
      </c>
    </row>
    <row r="66" spans="1:17" x14ac:dyDescent="0.35">
      <c r="A66" s="7" t="s">
        <v>102</v>
      </c>
      <c r="B66" s="8"/>
      <c r="C66" s="8"/>
      <c r="D66" s="8"/>
      <c r="E66" s="8"/>
      <c r="F66" s="8"/>
      <c r="G66" s="8"/>
      <c r="H66" s="8"/>
      <c r="I66" s="8"/>
      <c r="J66" s="8"/>
      <c r="K66" s="8"/>
      <c r="L66" s="8"/>
      <c r="M66" s="8"/>
      <c r="N66" s="8"/>
      <c r="O66" s="8"/>
      <c r="P66" s="8"/>
      <c r="Q66" s="8"/>
    </row>
    <row r="67" spans="1:17" x14ac:dyDescent="0.35">
      <c r="A67" s="32" t="s">
        <v>103</v>
      </c>
      <c r="B67" s="33" t="s">
        <v>104</v>
      </c>
      <c r="C67" s="34">
        <f t="shared" ref="C67:N67" si="1">C64*C65/100000</f>
        <v>3529.87271142487</v>
      </c>
      <c r="D67" s="34">
        <f t="shared" si="1"/>
        <v>3540.4623295591446</v>
      </c>
      <c r="E67" s="34">
        <f t="shared" si="1"/>
        <v>3438.9442307621007</v>
      </c>
      <c r="F67" s="34">
        <f t="shared" si="1"/>
        <v>3374.2771272923355</v>
      </c>
      <c r="G67" s="34">
        <f t="shared" si="1"/>
        <v>3572.4221786005564</v>
      </c>
      <c r="H67" s="34">
        <f t="shared" si="1"/>
        <v>3771.7257317224817</v>
      </c>
      <c r="I67" s="34">
        <f t="shared" si="1"/>
        <v>4539.6490907011794</v>
      </c>
      <c r="J67" s="34">
        <f t="shared" si="1"/>
        <v>4363.5485363910611</v>
      </c>
      <c r="K67" s="34">
        <f t="shared" si="1"/>
        <v>3996.0618618263024</v>
      </c>
      <c r="L67" s="34">
        <f t="shared" si="1"/>
        <v>3817.1905213445521</v>
      </c>
      <c r="M67" s="34">
        <f t="shared" si="1"/>
        <v>3637.209988263156</v>
      </c>
      <c r="N67" s="34">
        <f t="shared" si="1"/>
        <v>3763.3254588035643</v>
      </c>
      <c r="O67" s="34">
        <f>SUM($C67:$N67)</f>
        <v>45344.689766691306</v>
      </c>
      <c r="P67" s="50">
        <f>'Historical Data'!AB12</f>
        <v>39999.958649000007</v>
      </c>
      <c r="Q67" s="35">
        <f>IF(P67=0,"",O67/P67-1)</f>
        <v>0.13361841607366043</v>
      </c>
    </row>
    <row r="68" spans="1:17" x14ac:dyDescent="0.35">
      <c r="A68" s="5" t="s">
        <v>105</v>
      </c>
      <c r="B68" s="6" t="s">
        <v>104</v>
      </c>
      <c r="C68" s="19">
        <f t="shared" ref="C68:N68" si="2">C67*(1-$C$19)</f>
        <v>1094.2605405417098</v>
      </c>
      <c r="D68" s="19">
        <f t="shared" si="2"/>
        <v>1097.543322163335</v>
      </c>
      <c r="E68" s="19">
        <f t="shared" si="2"/>
        <v>1066.0727115362513</v>
      </c>
      <c r="F68" s="19">
        <f t="shared" si="2"/>
        <v>1046.0259094606242</v>
      </c>
      <c r="G68" s="19">
        <f t="shared" si="2"/>
        <v>1107.4508753661728</v>
      </c>
      <c r="H68" s="19">
        <f t="shared" si="2"/>
        <v>1169.2349768339695</v>
      </c>
      <c r="I68" s="19">
        <f t="shared" si="2"/>
        <v>1407.2912181173658</v>
      </c>
      <c r="J68" s="19">
        <f t="shared" si="2"/>
        <v>1352.7000462812291</v>
      </c>
      <c r="K68" s="19">
        <f t="shared" si="2"/>
        <v>1238.7791771661539</v>
      </c>
      <c r="L68" s="19">
        <f t="shared" si="2"/>
        <v>1183.3290616168113</v>
      </c>
      <c r="M68" s="19">
        <f t="shared" si="2"/>
        <v>1127.5350963615786</v>
      </c>
      <c r="N68" s="19">
        <f t="shared" si="2"/>
        <v>1166.630892229105</v>
      </c>
      <c r="O68" s="19">
        <f>SUM($C68:$N68)</f>
        <v>14056.853827674306</v>
      </c>
      <c r="P68" s="51">
        <f>'Historical Data'!AB13</f>
        <v>12423.9</v>
      </c>
      <c r="Q68" s="30">
        <f>IF(P68=0,"",O68/P68-1)</f>
        <v>0.13143649157465087</v>
      </c>
    </row>
    <row r="69" spans="1:17" x14ac:dyDescent="0.35">
      <c r="A69" s="32" t="s">
        <v>106</v>
      </c>
      <c r="B69" s="33" t="s">
        <v>104</v>
      </c>
      <c r="C69" s="34">
        <f t="shared" ref="C69:O69" si="3">C67-C68</f>
        <v>2435.6121708831602</v>
      </c>
      <c r="D69" s="34">
        <f t="shared" si="3"/>
        <v>2442.9190073958098</v>
      </c>
      <c r="E69" s="34">
        <f t="shared" si="3"/>
        <v>2372.8715192258496</v>
      </c>
      <c r="F69" s="34">
        <f t="shared" si="3"/>
        <v>2328.2512178317111</v>
      </c>
      <c r="G69" s="34">
        <f t="shared" si="3"/>
        <v>2464.9713032343834</v>
      </c>
      <c r="H69" s="34">
        <f t="shared" si="3"/>
        <v>2602.4907548885121</v>
      </c>
      <c r="I69" s="34">
        <f t="shared" si="3"/>
        <v>3132.3578725838133</v>
      </c>
      <c r="J69" s="34">
        <f t="shared" si="3"/>
        <v>3010.8484901098318</v>
      </c>
      <c r="K69" s="34">
        <f t="shared" si="3"/>
        <v>2757.2826846601483</v>
      </c>
      <c r="L69" s="34">
        <f t="shared" si="3"/>
        <v>2633.861459727741</v>
      </c>
      <c r="M69" s="34">
        <f t="shared" si="3"/>
        <v>2509.6748919015772</v>
      </c>
      <c r="N69" s="34">
        <f t="shared" si="3"/>
        <v>2596.6945665744593</v>
      </c>
      <c r="O69" s="34">
        <f t="shared" si="3"/>
        <v>31287.835939017001</v>
      </c>
      <c r="P69" s="50">
        <f>'Historical Data'!AB14</f>
        <v>27576.058649000006</v>
      </c>
      <c r="Q69" s="35">
        <f>IF(P69=0,"",O69/P69-1)</f>
        <v>0.13460144313087308</v>
      </c>
    </row>
    <row r="70" spans="1:17" x14ac:dyDescent="0.35">
      <c r="A70" s="5" t="s">
        <v>107</v>
      </c>
      <c r="B70" s="6" t="s">
        <v>108</v>
      </c>
      <c r="C70" s="37">
        <f t="shared" ref="C70:O70" si="4">IF(C67=0,0,C69/C67)</f>
        <v>0.69</v>
      </c>
      <c r="D70" s="37">
        <f t="shared" si="4"/>
        <v>0.69000000000000006</v>
      </c>
      <c r="E70" s="37">
        <f t="shared" si="4"/>
        <v>0.69000000000000006</v>
      </c>
      <c r="F70" s="37">
        <f t="shared" si="4"/>
        <v>0.68999999999999984</v>
      </c>
      <c r="G70" s="37">
        <f t="shared" si="4"/>
        <v>0.68999999999999984</v>
      </c>
      <c r="H70" s="37">
        <f t="shared" si="4"/>
        <v>0.69</v>
      </c>
      <c r="I70" s="37">
        <f t="shared" si="4"/>
        <v>0.69</v>
      </c>
      <c r="J70" s="37">
        <f t="shared" si="4"/>
        <v>0.69</v>
      </c>
      <c r="K70" s="37">
        <f t="shared" si="4"/>
        <v>0.69</v>
      </c>
      <c r="L70" s="37">
        <f t="shared" si="4"/>
        <v>0.69000000000000006</v>
      </c>
      <c r="M70" s="37">
        <f t="shared" si="4"/>
        <v>0.68999999999999984</v>
      </c>
      <c r="N70" s="37">
        <f t="shared" si="4"/>
        <v>0.69</v>
      </c>
      <c r="O70" s="37">
        <f t="shared" si="4"/>
        <v>0.69</v>
      </c>
      <c r="P70" s="10">
        <f>'Historical Data'!AB15</f>
        <v>0.6894021789117375</v>
      </c>
      <c r="Q70" s="30">
        <f>O70-P70</f>
        <v>5.9782108826245128E-4</v>
      </c>
    </row>
    <row r="71" spans="1:17" x14ac:dyDescent="0.35">
      <c r="A71" s="7" t="s">
        <v>109</v>
      </c>
      <c r="B71" s="8"/>
      <c r="C71" s="8"/>
      <c r="D71" s="8"/>
      <c r="E71" s="8"/>
      <c r="F71" s="8"/>
      <c r="G71" s="8"/>
      <c r="H71" s="8"/>
      <c r="I71" s="8"/>
      <c r="J71" s="8"/>
      <c r="K71" s="8"/>
      <c r="L71" s="8"/>
      <c r="M71" s="8"/>
      <c r="N71" s="8"/>
      <c r="O71" s="8"/>
      <c r="P71" s="8"/>
      <c r="Q71" s="8"/>
    </row>
    <row r="72" spans="1:17" x14ac:dyDescent="0.35">
      <c r="A72" s="5" t="s">
        <v>110</v>
      </c>
      <c r="B72" s="6" t="s">
        <v>104</v>
      </c>
      <c r="C72" s="19">
        <f t="shared" ref="C72:N72" si="5">C99*$C$34</f>
        <v>71.207597765363147</v>
      </c>
      <c r="D72" s="19">
        <f t="shared" si="5"/>
        <v>71.207597765363147</v>
      </c>
      <c r="E72" s="19">
        <f t="shared" si="5"/>
        <v>71.207597765363147</v>
      </c>
      <c r="F72" s="19">
        <f t="shared" si="5"/>
        <v>71.207597765363147</v>
      </c>
      <c r="G72" s="19">
        <f t="shared" si="5"/>
        <v>71.207597765363147</v>
      </c>
      <c r="H72" s="19">
        <f t="shared" si="5"/>
        <v>73.581184357541915</v>
      </c>
      <c r="I72" s="19">
        <f t="shared" si="5"/>
        <v>73.581184357541915</v>
      </c>
      <c r="J72" s="19">
        <f t="shared" si="5"/>
        <v>73.581184357541915</v>
      </c>
      <c r="K72" s="19">
        <f t="shared" si="5"/>
        <v>73.581184357541915</v>
      </c>
      <c r="L72" s="19">
        <f t="shared" si="5"/>
        <v>74.767977653631291</v>
      </c>
      <c r="M72" s="19">
        <f t="shared" si="5"/>
        <v>74.767977653631291</v>
      </c>
      <c r="N72" s="19">
        <f t="shared" si="5"/>
        <v>74.767977653631291</v>
      </c>
      <c r="O72" s="19">
        <f>SUM($C72:$N72)</f>
        <v>874.6666592178774</v>
      </c>
      <c r="P72" s="51">
        <f>'Historical Data'!AB17</f>
        <v>753.8</v>
      </c>
      <c r="Q72" s="30">
        <f t="shared" ref="Q72:Q91" si="6">IF(P72=0,"",O72/P72-1)</f>
        <v>0.16034314037924835</v>
      </c>
    </row>
    <row r="73" spans="1:17" x14ac:dyDescent="0.35">
      <c r="A73" s="5" t="s">
        <v>111</v>
      </c>
      <c r="B73" s="6" t="s">
        <v>104</v>
      </c>
      <c r="C73" s="19">
        <f t="shared" ref="C73:N73" si="7">C67*$C$20</f>
        <v>105.89618134274609</v>
      </c>
      <c r="D73" s="19">
        <f t="shared" si="7"/>
        <v>106.21386988677433</v>
      </c>
      <c r="E73" s="19">
        <f t="shared" si="7"/>
        <v>103.16832692286302</v>
      </c>
      <c r="F73" s="19">
        <f t="shared" si="7"/>
        <v>101.22831381877006</v>
      </c>
      <c r="G73" s="19">
        <f t="shared" si="7"/>
        <v>107.17266535801669</v>
      </c>
      <c r="H73" s="19">
        <f t="shared" si="7"/>
        <v>113.15177195167445</v>
      </c>
      <c r="I73" s="19">
        <f t="shared" si="7"/>
        <v>136.18947272103537</v>
      </c>
      <c r="J73" s="19">
        <f t="shared" si="7"/>
        <v>130.90645609173183</v>
      </c>
      <c r="K73" s="19">
        <f t="shared" si="7"/>
        <v>119.88185585478907</v>
      </c>
      <c r="L73" s="19">
        <f t="shared" si="7"/>
        <v>114.51571564033655</v>
      </c>
      <c r="M73" s="19">
        <f t="shared" si="7"/>
        <v>109.11629964789468</v>
      </c>
      <c r="N73" s="19">
        <f t="shared" si="7"/>
        <v>112.89976376410692</v>
      </c>
      <c r="O73" s="19">
        <f>SUM($C73:$N73)</f>
        <v>1360.3406930007388</v>
      </c>
      <c r="P73" s="51">
        <f>'Historical Data'!AB18</f>
        <v>1186.8999999999999</v>
      </c>
      <c r="Q73" s="30">
        <f t="shared" si="6"/>
        <v>0.14612915409953575</v>
      </c>
    </row>
    <row r="74" spans="1:17" x14ac:dyDescent="0.35">
      <c r="A74" s="32" t="s">
        <v>112</v>
      </c>
      <c r="B74" s="33" t="s">
        <v>104</v>
      </c>
      <c r="C74" s="34">
        <f t="shared" ref="C74:O74" si="8">C72+C73</f>
        <v>177.10377910810922</v>
      </c>
      <c r="D74" s="34">
        <f t="shared" si="8"/>
        <v>177.42146765213749</v>
      </c>
      <c r="E74" s="34">
        <f t="shared" si="8"/>
        <v>174.37592468822618</v>
      </c>
      <c r="F74" s="34">
        <f t="shared" si="8"/>
        <v>172.43591158413321</v>
      </c>
      <c r="G74" s="34">
        <f t="shared" si="8"/>
        <v>178.38026312337985</v>
      </c>
      <c r="H74" s="34">
        <f t="shared" si="8"/>
        <v>186.73295630921638</v>
      </c>
      <c r="I74" s="34">
        <f t="shared" si="8"/>
        <v>209.7706570785773</v>
      </c>
      <c r="J74" s="34">
        <f t="shared" si="8"/>
        <v>204.48764044927373</v>
      </c>
      <c r="K74" s="34">
        <f t="shared" si="8"/>
        <v>193.46304021233098</v>
      </c>
      <c r="L74" s="34">
        <f t="shared" si="8"/>
        <v>189.28369329396784</v>
      </c>
      <c r="M74" s="34">
        <f t="shared" si="8"/>
        <v>183.88427730152597</v>
      </c>
      <c r="N74" s="34">
        <f t="shared" si="8"/>
        <v>187.66774141773823</v>
      </c>
      <c r="O74" s="34">
        <f t="shared" si="8"/>
        <v>2235.0073522186162</v>
      </c>
      <c r="P74" s="50">
        <f>'Historical Data'!AB19</f>
        <v>1940.6999999999998</v>
      </c>
      <c r="Q74" s="35">
        <f t="shared" si="6"/>
        <v>0.15165010162241277</v>
      </c>
    </row>
    <row r="75" spans="1:17" x14ac:dyDescent="0.35">
      <c r="A75" s="5" t="s">
        <v>113</v>
      </c>
      <c r="B75" s="6" t="s">
        <v>104</v>
      </c>
      <c r="C75" s="19">
        <f t="shared" ref="C75:N75" si="9">C100*$C$35</f>
        <v>100.93288590604027</v>
      </c>
      <c r="D75" s="19">
        <f t="shared" si="9"/>
        <v>100.93288590604027</v>
      </c>
      <c r="E75" s="19">
        <f t="shared" si="9"/>
        <v>100.93288590604027</v>
      </c>
      <c r="F75" s="19">
        <f t="shared" si="9"/>
        <v>100.93288590604027</v>
      </c>
      <c r="G75" s="19">
        <f t="shared" si="9"/>
        <v>100.93288590604027</v>
      </c>
      <c r="H75" s="19">
        <f t="shared" si="9"/>
        <v>100.93288590604027</v>
      </c>
      <c r="I75" s="19">
        <f t="shared" si="9"/>
        <v>100.93288590604027</v>
      </c>
      <c r="J75" s="19">
        <f t="shared" si="9"/>
        <v>100.93288590604027</v>
      </c>
      <c r="K75" s="19">
        <f t="shared" si="9"/>
        <v>103.62442953020134</v>
      </c>
      <c r="L75" s="19">
        <f t="shared" si="9"/>
        <v>103.62442953020134</v>
      </c>
      <c r="M75" s="19">
        <f t="shared" si="9"/>
        <v>103.62442953020134</v>
      </c>
      <c r="N75" s="19">
        <f t="shared" si="9"/>
        <v>103.62442953020134</v>
      </c>
      <c r="O75" s="19">
        <f>SUM($C75:$N75)</f>
        <v>1221.9608053691275</v>
      </c>
      <c r="P75" s="51">
        <f>'Historical Data'!AB20</f>
        <v>1097.3</v>
      </c>
      <c r="Q75" s="30">
        <f t="shared" si="6"/>
        <v>0.11360685807812576</v>
      </c>
    </row>
    <row r="76" spans="1:17" x14ac:dyDescent="0.35">
      <c r="A76" s="5" t="s">
        <v>114</v>
      </c>
      <c r="B76" s="6" t="s">
        <v>104</v>
      </c>
      <c r="C76" s="19">
        <f t="shared" ref="C76:N76" si="10">C64*$C$23/100000</f>
        <v>264.39576824999995</v>
      </c>
      <c r="D76" s="19">
        <f t="shared" si="10"/>
        <v>264.39576824999995</v>
      </c>
      <c r="E76" s="19">
        <f t="shared" si="10"/>
        <v>256.04642819999998</v>
      </c>
      <c r="F76" s="19">
        <f t="shared" si="10"/>
        <v>250.48020149999999</v>
      </c>
      <c r="G76" s="19">
        <f t="shared" si="10"/>
        <v>264.39576824999995</v>
      </c>
      <c r="H76" s="19">
        <f t="shared" si="10"/>
        <v>278.31133499999999</v>
      </c>
      <c r="I76" s="19">
        <f t="shared" si="10"/>
        <v>333.97360199999997</v>
      </c>
      <c r="J76" s="19">
        <f t="shared" si="10"/>
        <v>320.05803524999993</v>
      </c>
      <c r="K76" s="19">
        <f t="shared" si="10"/>
        <v>292.22690175000002</v>
      </c>
      <c r="L76" s="19">
        <f t="shared" si="10"/>
        <v>278.31133499999999</v>
      </c>
      <c r="M76" s="19">
        <f t="shared" si="10"/>
        <v>264.39576824999995</v>
      </c>
      <c r="N76" s="19">
        <f t="shared" si="10"/>
        <v>272.74510829999997</v>
      </c>
      <c r="O76" s="19">
        <f>SUM($C76:$N76)</f>
        <v>3339.7360199999998</v>
      </c>
      <c r="P76" s="51">
        <f>'Historical Data'!AB21</f>
        <v>3003.8999999999996</v>
      </c>
      <c r="Q76" s="30">
        <f t="shared" si="6"/>
        <v>0.11180000000000012</v>
      </c>
    </row>
    <row r="77" spans="1:17" x14ac:dyDescent="0.35">
      <c r="A77" s="5" t="s">
        <v>115</v>
      </c>
      <c r="B77" s="6" t="s">
        <v>104</v>
      </c>
      <c r="C77" s="19">
        <f>'Historical Data'!$AB$22/12*(1+$C$27)</f>
        <v>34.317500000000003</v>
      </c>
      <c r="D77" s="19">
        <f>'Historical Data'!$AB$22/12*(1+$C$27)</f>
        <v>34.317500000000003</v>
      </c>
      <c r="E77" s="19">
        <f>'Historical Data'!$AB$22/12*(1+$C$27)</f>
        <v>34.317500000000003</v>
      </c>
      <c r="F77" s="19">
        <f>'Historical Data'!$AB$22/12*(1+$C$27)</f>
        <v>34.317500000000003</v>
      </c>
      <c r="G77" s="19">
        <f>'Historical Data'!$AB$22/12*(1+$C$27)</f>
        <v>34.317500000000003</v>
      </c>
      <c r="H77" s="19">
        <f>'Historical Data'!$AB$22/12*(1+$C$27)</f>
        <v>34.317500000000003</v>
      </c>
      <c r="I77" s="19">
        <f>'Historical Data'!$AB$22/12*(1+$C$27)</f>
        <v>34.317500000000003</v>
      </c>
      <c r="J77" s="19">
        <f>'Historical Data'!$AB$22/12*(1+$C$27)</f>
        <v>34.317500000000003</v>
      </c>
      <c r="K77" s="19">
        <f>'Historical Data'!$AB$22/12*(1+$C$27)</f>
        <v>34.317500000000003</v>
      </c>
      <c r="L77" s="19">
        <f>'Historical Data'!$AB$22/12*(1+$C$27)</f>
        <v>34.317500000000003</v>
      </c>
      <c r="M77" s="19">
        <f>'Historical Data'!$AB$22/12*(1+$C$27)</f>
        <v>34.317500000000003</v>
      </c>
      <c r="N77" s="19">
        <f>'Historical Data'!$AB$22/12*(1+$C$27)</f>
        <v>34.317500000000003</v>
      </c>
      <c r="O77" s="19">
        <f>SUM($C77:$N77)</f>
        <v>411.81</v>
      </c>
      <c r="P77" s="51">
        <f>'Historical Data'!AB22</f>
        <v>388.5</v>
      </c>
      <c r="Q77" s="30">
        <f t="shared" si="6"/>
        <v>6.0000000000000053E-2</v>
      </c>
    </row>
    <row r="78" spans="1:17" x14ac:dyDescent="0.35">
      <c r="A78" s="32" t="s">
        <v>116</v>
      </c>
      <c r="B78" s="33" t="s">
        <v>104</v>
      </c>
      <c r="C78" s="34">
        <f t="shared" ref="C78:O78" si="11">C75+C76+C77</f>
        <v>399.64615415604021</v>
      </c>
      <c r="D78" s="34">
        <f t="shared" si="11"/>
        <v>399.64615415604021</v>
      </c>
      <c r="E78" s="34">
        <f t="shared" si="11"/>
        <v>391.29681410604024</v>
      </c>
      <c r="F78" s="34">
        <f t="shared" si="11"/>
        <v>385.73058740604029</v>
      </c>
      <c r="G78" s="34">
        <f t="shared" si="11"/>
        <v>399.64615415604021</v>
      </c>
      <c r="H78" s="34">
        <f t="shared" si="11"/>
        <v>413.56172090604025</v>
      </c>
      <c r="I78" s="34">
        <f t="shared" si="11"/>
        <v>469.22398790604024</v>
      </c>
      <c r="J78" s="34">
        <f t="shared" si="11"/>
        <v>455.3084211560402</v>
      </c>
      <c r="K78" s="34">
        <f t="shared" si="11"/>
        <v>430.16883128020135</v>
      </c>
      <c r="L78" s="34">
        <f t="shared" si="11"/>
        <v>416.25326453020131</v>
      </c>
      <c r="M78" s="34">
        <f t="shared" si="11"/>
        <v>402.33769778020127</v>
      </c>
      <c r="N78" s="34">
        <f t="shared" si="11"/>
        <v>410.68703783020129</v>
      </c>
      <c r="O78" s="34">
        <f t="shared" si="11"/>
        <v>4973.5068253691279</v>
      </c>
      <c r="P78" s="50">
        <f>'Historical Data'!AB23</f>
        <v>4489.7</v>
      </c>
      <c r="Q78" s="35">
        <f t="shared" si="6"/>
        <v>0.10775927687131159</v>
      </c>
    </row>
    <row r="79" spans="1:17" x14ac:dyDescent="0.35">
      <c r="A79" s="5" t="s">
        <v>117</v>
      </c>
      <c r="B79" s="6" t="s">
        <v>104</v>
      </c>
      <c r="C79" s="19">
        <f t="shared" ref="C79:N79" si="12">C101*$C$36</f>
        <v>91.04288659793815</v>
      </c>
      <c r="D79" s="19">
        <f t="shared" si="12"/>
        <v>91.04288659793815</v>
      </c>
      <c r="E79" s="19">
        <f t="shared" si="12"/>
        <v>91.04288659793815</v>
      </c>
      <c r="F79" s="19">
        <f t="shared" si="12"/>
        <v>93.844206185567018</v>
      </c>
      <c r="G79" s="19">
        <f t="shared" si="12"/>
        <v>93.844206185567018</v>
      </c>
      <c r="H79" s="19">
        <f t="shared" si="12"/>
        <v>93.844206185567018</v>
      </c>
      <c r="I79" s="19">
        <f t="shared" si="12"/>
        <v>93.844206185567018</v>
      </c>
      <c r="J79" s="19">
        <f t="shared" si="12"/>
        <v>93.844206185567018</v>
      </c>
      <c r="K79" s="19">
        <f t="shared" si="12"/>
        <v>93.844206185567018</v>
      </c>
      <c r="L79" s="19">
        <f t="shared" si="12"/>
        <v>93.844206185567018</v>
      </c>
      <c r="M79" s="19">
        <f t="shared" si="12"/>
        <v>93.844206185567018</v>
      </c>
      <c r="N79" s="19">
        <f t="shared" si="12"/>
        <v>93.844206185567018</v>
      </c>
      <c r="O79" s="19">
        <f>SUM($C79:$N79)</f>
        <v>1117.7265154639176</v>
      </c>
      <c r="P79" s="51">
        <f>'Historical Data'!AB24</f>
        <v>980.4</v>
      </c>
      <c r="Q79" s="30">
        <f t="shared" si="6"/>
        <v>0.14007192519779443</v>
      </c>
    </row>
    <row r="80" spans="1:17" x14ac:dyDescent="0.35">
      <c r="A80" s="5" t="s">
        <v>118</v>
      </c>
      <c r="B80" s="6" t="s">
        <v>104</v>
      </c>
      <c r="C80" s="19">
        <f t="shared" ref="C80:N80" si="13">C67*$C$24</f>
        <v>758.922632956347</v>
      </c>
      <c r="D80" s="19">
        <f t="shared" si="13"/>
        <v>761.19940085521603</v>
      </c>
      <c r="E80" s="19">
        <f t="shared" si="13"/>
        <v>739.37300961385165</v>
      </c>
      <c r="F80" s="19">
        <f t="shared" si="13"/>
        <v>725.46958236785213</v>
      </c>
      <c r="G80" s="19">
        <f t="shared" si="13"/>
        <v>768.07076839911963</v>
      </c>
      <c r="H80" s="19">
        <f t="shared" si="13"/>
        <v>810.92103232033355</v>
      </c>
      <c r="I80" s="19">
        <f t="shared" si="13"/>
        <v>976.02455450075354</v>
      </c>
      <c r="J80" s="19">
        <f t="shared" si="13"/>
        <v>938.16293532407815</v>
      </c>
      <c r="K80" s="19">
        <f t="shared" si="13"/>
        <v>859.15330029265499</v>
      </c>
      <c r="L80" s="19">
        <f t="shared" si="13"/>
        <v>820.69596208907865</v>
      </c>
      <c r="M80" s="19">
        <f t="shared" si="13"/>
        <v>782.00014747657849</v>
      </c>
      <c r="N80" s="19">
        <f t="shared" si="13"/>
        <v>809.11497364276636</v>
      </c>
      <c r="O80" s="19">
        <f>SUM($C80:$N80)</f>
        <v>9749.10829983863</v>
      </c>
      <c r="P80" s="51">
        <f>'Historical Data'!AB25</f>
        <v>9005.0999999999985</v>
      </c>
      <c r="Q80" s="30">
        <f t="shared" si="6"/>
        <v>8.2620770434379542E-2</v>
      </c>
    </row>
    <row r="81" spans="1:17" x14ac:dyDescent="0.35">
      <c r="A81" s="5" t="s">
        <v>119</v>
      </c>
      <c r="B81" s="6" t="s">
        <v>104</v>
      </c>
      <c r="C81" s="19">
        <f t="shared" ref="C81:N81" si="14">C67*$C$25</f>
        <v>352.98727114248703</v>
      </c>
      <c r="D81" s="19">
        <f t="shared" si="14"/>
        <v>354.04623295591449</v>
      </c>
      <c r="E81" s="19">
        <f t="shared" si="14"/>
        <v>343.8944230762101</v>
      </c>
      <c r="F81" s="19">
        <f t="shared" si="14"/>
        <v>337.42771272923358</v>
      </c>
      <c r="G81" s="19">
        <f t="shared" si="14"/>
        <v>357.24221786005569</v>
      </c>
      <c r="H81" s="19">
        <f t="shared" si="14"/>
        <v>377.17257317224818</v>
      </c>
      <c r="I81" s="19">
        <f t="shared" si="14"/>
        <v>453.96490907011798</v>
      </c>
      <c r="J81" s="19">
        <f t="shared" si="14"/>
        <v>436.35485363910612</v>
      </c>
      <c r="K81" s="19">
        <f t="shared" si="14"/>
        <v>399.60618618263027</v>
      </c>
      <c r="L81" s="19">
        <f t="shared" si="14"/>
        <v>381.71905213445524</v>
      </c>
      <c r="M81" s="19">
        <f t="shared" si="14"/>
        <v>363.72099882631562</v>
      </c>
      <c r="N81" s="19">
        <f t="shared" si="14"/>
        <v>376.33254588035646</v>
      </c>
      <c r="O81" s="19">
        <f>SUM($C81:$N81)</f>
        <v>4534.4689766691308</v>
      </c>
      <c r="P81" s="51">
        <f>'Historical Data'!AB26</f>
        <v>4199.2</v>
      </c>
      <c r="Q81" s="30">
        <f t="shared" si="6"/>
        <v>7.9841154664967329E-2</v>
      </c>
    </row>
    <row r="82" spans="1:17" x14ac:dyDescent="0.35">
      <c r="A82" s="32" t="s">
        <v>120</v>
      </c>
      <c r="B82" s="33" t="s">
        <v>104</v>
      </c>
      <c r="C82" s="34">
        <f t="shared" ref="C82:O82" si="15">C79+C80+C81</f>
        <v>1202.9527906967721</v>
      </c>
      <c r="D82" s="34">
        <f t="shared" si="15"/>
        <v>1206.2885204090687</v>
      </c>
      <c r="E82" s="34">
        <f t="shared" si="15"/>
        <v>1174.3103192879998</v>
      </c>
      <c r="F82" s="34">
        <f t="shared" si="15"/>
        <v>1156.7415012826527</v>
      </c>
      <c r="G82" s="34">
        <f t="shared" si="15"/>
        <v>1219.1571924447423</v>
      </c>
      <c r="H82" s="34">
        <f t="shared" si="15"/>
        <v>1281.9378116781488</v>
      </c>
      <c r="I82" s="34">
        <f t="shared" si="15"/>
        <v>1523.8336697564384</v>
      </c>
      <c r="J82" s="34">
        <f t="shared" si="15"/>
        <v>1468.3619951487512</v>
      </c>
      <c r="K82" s="34">
        <f t="shared" si="15"/>
        <v>1352.6036926608522</v>
      </c>
      <c r="L82" s="34">
        <f t="shared" si="15"/>
        <v>1296.2592204091009</v>
      </c>
      <c r="M82" s="34">
        <f t="shared" si="15"/>
        <v>1239.565352488461</v>
      </c>
      <c r="N82" s="34">
        <f t="shared" si="15"/>
        <v>1279.2917257086899</v>
      </c>
      <c r="O82" s="34">
        <f t="shared" si="15"/>
        <v>15401.303791971677</v>
      </c>
      <c r="P82" s="50">
        <f>'Historical Data'!AB27</f>
        <v>14184.699999999997</v>
      </c>
      <c r="Q82" s="35">
        <f t="shared" si="6"/>
        <v>8.5768736171486282E-2</v>
      </c>
    </row>
    <row r="83" spans="1:17" x14ac:dyDescent="0.35">
      <c r="A83" s="5" t="s">
        <v>121</v>
      </c>
      <c r="B83" s="6" t="s">
        <v>104</v>
      </c>
      <c r="C83" s="19">
        <f t="shared" ref="C83:N83" si="16">C102*$C$37</f>
        <v>15.012</v>
      </c>
      <c r="D83" s="19">
        <f t="shared" si="16"/>
        <v>15.012</v>
      </c>
      <c r="E83" s="19">
        <f t="shared" si="16"/>
        <v>15.012</v>
      </c>
      <c r="F83" s="19">
        <f t="shared" si="16"/>
        <v>15.012</v>
      </c>
      <c r="G83" s="19">
        <f t="shared" si="16"/>
        <v>15.012</v>
      </c>
      <c r="H83" s="19">
        <f t="shared" si="16"/>
        <v>15.012</v>
      </c>
      <c r="I83" s="19">
        <f t="shared" si="16"/>
        <v>15.012</v>
      </c>
      <c r="J83" s="19">
        <f t="shared" si="16"/>
        <v>15.012</v>
      </c>
      <c r="K83" s="19">
        <f t="shared" si="16"/>
        <v>15.012</v>
      </c>
      <c r="L83" s="19">
        <f t="shared" si="16"/>
        <v>15.012</v>
      </c>
      <c r="M83" s="19">
        <f t="shared" si="16"/>
        <v>15.012</v>
      </c>
      <c r="N83" s="19">
        <f t="shared" si="16"/>
        <v>15.012</v>
      </c>
      <c r="O83" s="19">
        <f>SUM($C83:$N83)</f>
        <v>180.14400000000001</v>
      </c>
      <c r="P83" s="51">
        <f>'Historical Data'!AB28</f>
        <v>162</v>
      </c>
      <c r="Q83" s="30">
        <f t="shared" si="6"/>
        <v>0.1120000000000001</v>
      </c>
    </row>
    <row r="84" spans="1:17" x14ac:dyDescent="0.35">
      <c r="A84" s="5" t="s">
        <v>122</v>
      </c>
      <c r="B84" s="6" t="s">
        <v>104</v>
      </c>
      <c r="C84" s="19">
        <f>'Historical Data'!$AB$29/12*(1+$C$28)</f>
        <v>10.123750000000001</v>
      </c>
      <c r="D84" s="19">
        <f>'Historical Data'!$AB$29/12*(1+$C$28)</f>
        <v>10.123750000000001</v>
      </c>
      <c r="E84" s="19">
        <f>'Historical Data'!$AB$29/12*(1+$C$28)</f>
        <v>10.123750000000001</v>
      </c>
      <c r="F84" s="19">
        <f>'Historical Data'!$AB$29/12*(1+$C$28)</f>
        <v>10.123750000000001</v>
      </c>
      <c r="G84" s="19">
        <f>'Historical Data'!$AB$29/12*(1+$C$28)</f>
        <v>10.123750000000001</v>
      </c>
      <c r="H84" s="19">
        <f>'Historical Data'!$AB$29/12*(1+$C$28)</f>
        <v>10.123750000000001</v>
      </c>
      <c r="I84" s="19">
        <f>'Historical Data'!$AB$29/12*(1+$C$28)</f>
        <v>10.123750000000001</v>
      </c>
      <c r="J84" s="19">
        <f>'Historical Data'!$AB$29/12*(1+$C$28)</f>
        <v>10.123750000000001</v>
      </c>
      <c r="K84" s="19">
        <f>'Historical Data'!$AB$29/12*(1+$C$28)</f>
        <v>10.123750000000001</v>
      </c>
      <c r="L84" s="19">
        <f>'Historical Data'!$AB$29/12*(1+$C$28)</f>
        <v>10.123750000000001</v>
      </c>
      <c r="M84" s="19">
        <f>'Historical Data'!$AB$29/12*(1+$C$28)</f>
        <v>10.123750000000001</v>
      </c>
      <c r="N84" s="19">
        <f>'Historical Data'!$AB$29/12*(1+$C$28)</f>
        <v>10.123750000000001</v>
      </c>
      <c r="O84" s="19">
        <f>SUM($C84:$N84)</f>
        <v>121.48500000000001</v>
      </c>
      <c r="P84" s="51">
        <f>'Historical Data'!AB29</f>
        <v>115.7</v>
      </c>
      <c r="Q84" s="30">
        <f t="shared" si="6"/>
        <v>5.0000000000000044E-2</v>
      </c>
    </row>
    <row r="85" spans="1:17" x14ac:dyDescent="0.35">
      <c r="A85" s="32" t="s">
        <v>123</v>
      </c>
      <c r="B85" s="33" t="s">
        <v>104</v>
      </c>
      <c r="C85" s="34">
        <f t="shared" ref="C85:O85" si="17">C83+C84</f>
        <v>25.135750000000002</v>
      </c>
      <c r="D85" s="34">
        <f t="shared" si="17"/>
        <v>25.135750000000002</v>
      </c>
      <c r="E85" s="34">
        <f t="shared" si="17"/>
        <v>25.135750000000002</v>
      </c>
      <c r="F85" s="34">
        <f t="shared" si="17"/>
        <v>25.135750000000002</v>
      </c>
      <c r="G85" s="34">
        <f t="shared" si="17"/>
        <v>25.135750000000002</v>
      </c>
      <c r="H85" s="34">
        <f t="shared" si="17"/>
        <v>25.135750000000002</v>
      </c>
      <c r="I85" s="34">
        <f t="shared" si="17"/>
        <v>25.135750000000002</v>
      </c>
      <c r="J85" s="34">
        <f t="shared" si="17"/>
        <v>25.135750000000002</v>
      </c>
      <c r="K85" s="34">
        <f t="shared" si="17"/>
        <v>25.135750000000002</v>
      </c>
      <c r="L85" s="34">
        <f t="shared" si="17"/>
        <v>25.135750000000002</v>
      </c>
      <c r="M85" s="34">
        <f t="shared" si="17"/>
        <v>25.135750000000002</v>
      </c>
      <c r="N85" s="34">
        <f t="shared" si="17"/>
        <v>25.135750000000002</v>
      </c>
      <c r="O85" s="34">
        <f t="shared" si="17"/>
        <v>301.62900000000002</v>
      </c>
      <c r="P85" s="50">
        <f>'Historical Data'!AB30</f>
        <v>277.7</v>
      </c>
      <c r="Q85" s="35">
        <f t="shared" si="6"/>
        <v>8.6168527187612698E-2</v>
      </c>
    </row>
    <row r="86" spans="1:17" x14ac:dyDescent="0.35">
      <c r="A86" s="5" t="s">
        <v>124</v>
      </c>
      <c r="B86" s="6" t="s">
        <v>104</v>
      </c>
      <c r="C86" s="19">
        <f t="shared" ref="C86:N86" si="18">C103*$C$38</f>
        <v>94.566193548387105</v>
      </c>
      <c r="D86" s="19">
        <f t="shared" si="18"/>
        <v>94.566193548387105</v>
      </c>
      <c r="E86" s="19">
        <f t="shared" si="18"/>
        <v>94.566193548387105</v>
      </c>
      <c r="F86" s="19">
        <f t="shared" si="18"/>
        <v>98.203354838709686</v>
      </c>
      <c r="G86" s="19">
        <f t="shared" si="18"/>
        <v>98.203354838709686</v>
      </c>
      <c r="H86" s="19">
        <f t="shared" si="18"/>
        <v>98.203354838709686</v>
      </c>
      <c r="I86" s="19">
        <f t="shared" si="18"/>
        <v>98.203354838709686</v>
      </c>
      <c r="J86" s="19">
        <f t="shared" si="18"/>
        <v>98.203354838709686</v>
      </c>
      <c r="K86" s="19">
        <f t="shared" si="18"/>
        <v>98.203354838709686</v>
      </c>
      <c r="L86" s="19">
        <f t="shared" si="18"/>
        <v>98.203354838709686</v>
      </c>
      <c r="M86" s="19">
        <f t="shared" si="18"/>
        <v>98.203354838709686</v>
      </c>
      <c r="N86" s="19">
        <f t="shared" si="18"/>
        <v>98.203354838709686</v>
      </c>
      <c r="O86" s="19">
        <f>SUM($C86:$N86)</f>
        <v>1167.5287741935481</v>
      </c>
      <c r="P86" s="51">
        <f>'Historical Data'!AB31</f>
        <v>990.09999999999991</v>
      </c>
      <c r="Q86" s="30">
        <f t="shared" si="6"/>
        <v>0.17920288273260088</v>
      </c>
    </row>
    <row r="87" spans="1:17" x14ac:dyDescent="0.35">
      <c r="A87" s="5" t="s">
        <v>125</v>
      </c>
      <c r="B87" s="6" t="s">
        <v>104</v>
      </c>
      <c r="C87" s="19">
        <f>'Historical Data'!$AB$32/12*(1+$C$29)</f>
        <v>52.210666666666683</v>
      </c>
      <c r="D87" s="19">
        <f>'Historical Data'!$AB$32/12*(1+$C$29)</f>
        <v>52.210666666666683</v>
      </c>
      <c r="E87" s="19">
        <f>'Historical Data'!$AB$32/12*(1+$C$29)</f>
        <v>52.210666666666683</v>
      </c>
      <c r="F87" s="19">
        <f>'Historical Data'!$AB$32/12*(1+$C$29)</f>
        <v>52.210666666666683</v>
      </c>
      <c r="G87" s="19">
        <f>'Historical Data'!$AB$32/12*(1+$C$29)</f>
        <v>52.210666666666683</v>
      </c>
      <c r="H87" s="19">
        <f>'Historical Data'!$AB$32/12*(1+$C$29)</f>
        <v>52.210666666666683</v>
      </c>
      <c r="I87" s="19">
        <f>'Historical Data'!$AB$32/12*(1+$C$29)</f>
        <v>52.210666666666683</v>
      </c>
      <c r="J87" s="19">
        <f>'Historical Data'!$AB$32/12*(1+$C$29)</f>
        <v>52.210666666666683</v>
      </c>
      <c r="K87" s="19">
        <f>'Historical Data'!$AB$32/12*(1+$C$29)</f>
        <v>52.210666666666683</v>
      </c>
      <c r="L87" s="19">
        <f>'Historical Data'!$AB$32/12*(1+$C$29)</f>
        <v>52.210666666666683</v>
      </c>
      <c r="M87" s="19">
        <f>'Historical Data'!$AB$32/12*(1+$C$29)</f>
        <v>52.210666666666683</v>
      </c>
      <c r="N87" s="19">
        <f>'Historical Data'!$AB$32/12*(1+$C$29)</f>
        <v>52.210666666666683</v>
      </c>
      <c r="O87" s="19">
        <f>SUM($C87:$N87)</f>
        <v>626.52800000000025</v>
      </c>
      <c r="P87" s="51">
        <f>'Historical Data'!AB32</f>
        <v>559.40000000000009</v>
      </c>
      <c r="Q87" s="30">
        <f t="shared" si="6"/>
        <v>0.12000000000000033</v>
      </c>
    </row>
    <row r="88" spans="1:17" x14ac:dyDescent="0.35">
      <c r="A88" s="32" t="s">
        <v>126</v>
      </c>
      <c r="B88" s="33" t="s">
        <v>104</v>
      </c>
      <c r="C88" s="34">
        <f t="shared" ref="C88:O88" si="19">C86+C87</f>
        <v>146.77686021505377</v>
      </c>
      <c r="D88" s="34">
        <f t="shared" si="19"/>
        <v>146.77686021505377</v>
      </c>
      <c r="E88" s="34">
        <f t="shared" si="19"/>
        <v>146.77686021505377</v>
      </c>
      <c r="F88" s="34">
        <f t="shared" si="19"/>
        <v>150.41402150537635</v>
      </c>
      <c r="G88" s="34">
        <f t="shared" si="19"/>
        <v>150.41402150537635</v>
      </c>
      <c r="H88" s="34">
        <f t="shared" si="19"/>
        <v>150.41402150537635</v>
      </c>
      <c r="I88" s="34">
        <f t="shared" si="19"/>
        <v>150.41402150537635</v>
      </c>
      <c r="J88" s="34">
        <f t="shared" si="19"/>
        <v>150.41402150537635</v>
      </c>
      <c r="K88" s="34">
        <f t="shared" si="19"/>
        <v>150.41402150537635</v>
      </c>
      <c r="L88" s="34">
        <f t="shared" si="19"/>
        <v>150.41402150537635</v>
      </c>
      <c r="M88" s="34">
        <f t="shared" si="19"/>
        <v>150.41402150537635</v>
      </c>
      <c r="N88" s="34">
        <f t="shared" si="19"/>
        <v>150.41402150537635</v>
      </c>
      <c r="O88" s="34">
        <f t="shared" si="19"/>
        <v>1794.0567741935483</v>
      </c>
      <c r="P88" s="50">
        <f>'Historical Data'!AB33</f>
        <v>1549.5</v>
      </c>
      <c r="Q88" s="35">
        <f t="shared" si="6"/>
        <v>0.15782947673026682</v>
      </c>
    </row>
    <row r="89" spans="1:17" x14ac:dyDescent="0.35">
      <c r="A89" s="5" t="s">
        <v>127</v>
      </c>
      <c r="B89" s="6" t="s">
        <v>104</v>
      </c>
      <c r="C89" s="19">
        <f t="shared" ref="C89:N89" si="20">C104*$C$39</f>
        <v>39.311999999999991</v>
      </c>
      <c r="D89" s="19">
        <f t="shared" si="20"/>
        <v>39.311999999999991</v>
      </c>
      <c r="E89" s="19">
        <f t="shared" si="20"/>
        <v>39.311999999999991</v>
      </c>
      <c r="F89" s="19">
        <f t="shared" si="20"/>
        <v>39.311999999999991</v>
      </c>
      <c r="G89" s="19">
        <f t="shared" si="20"/>
        <v>39.311999999999991</v>
      </c>
      <c r="H89" s="19">
        <f t="shared" si="20"/>
        <v>39.311999999999991</v>
      </c>
      <c r="I89" s="19">
        <f t="shared" si="20"/>
        <v>40.622399999999992</v>
      </c>
      <c r="J89" s="19">
        <f t="shared" si="20"/>
        <v>40.622399999999992</v>
      </c>
      <c r="K89" s="19">
        <f t="shared" si="20"/>
        <v>40.622399999999992</v>
      </c>
      <c r="L89" s="19">
        <f t="shared" si="20"/>
        <v>40.622399999999992</v>
      </c>
      <c r="M89" s="19">
        <f t="shared" si="20"/>
        <v>40.622399999999992</v>
      </c>
      <c r="N89" s="19">
        <f t="shared" si="20"/>
        <v>40.622399999999992</v>
      </c>
      <c r="O89" s="19">
        <f>SUM($C89:$N89)</f>
        <v>479.60639999999978</v>
      </c>
      <c r="P89" s="51">
        <f>'Historical Data'!AB34</f>
        <v>421.3</v>
      </c>
      <c r="Q89" s="30">
        <f t="shared" si="6"/>
        <v>0.13839639211962917</v>
      </c>
    </row>
    <row r="90" spans="1:17" x14ac:dyDescent="0.35">
      <c r="A90" s="5" t="s">
        <v>128</v>
      </c>
      <c r="B90" s="6" t="s">
        <v>104</v>
      </c>
      <c r="C90" s="19">
        <f>'Historical Data'!$AB$35/12*(1+$C$30)</f>
        <v>62.071833333333345</v>
      </c>
      <c r="D90" s="19">
        <f>'Historical Data'!$AB$35/12*(1+$C$30)</f>
        <v>62.071833333333345</v>
      </c>
      <c r="E90" s="19">
        <f>'Historical Data'!$AB$35/12*(1+$C$30)</f>
        <v>62.071833333333345</v>
      </c>
      <c r="F90" s="19">
        <f>'Historical Data'!$AB$35/12*(1+$C$30)</f>
        <v>62.071833333333345</v>
      </c>
      <c r="G90" s="19">
        <f>'Historical Data'!$AB$35/12*(1+$C$30)</f>
        <v>62.071833333333345</v>
      </c>
      <c r="H90" s="19">
        <f>'Historical Data'!$AB$35/12*(1+$C$30)</f>
        <v>62.071833333333345</v>
      </c>
      <c r="I90" s="19">
        <f>'Historical Data'!$AB$35/12*(1+$C$30)</f>
        <v>62.071833333333345</v>
      </c>
      <c r="J90" s="19">
        <f>'Historical Data'!$AB$35/12*(1+$C$30)</f>
        <v>62.071833333333345</v>
      </c>
      <c r="K90" s="19">
        <f>'Historical Data'!$AB$35/12*(1+$C$30)</f>
        <v>62.071833333333345</v>
      </c>
      <c r="L90" s="19">
        <f>'Historical Data'!$AB$35/12*(1+$C$30)</f>
        <v>62.071833333333345</v>
      </c>
      <c r="M90" s="19">
        <f>'Historical Data'!$AB$35/12*(1+$C$30)</f>
        <v>62.071833333333345</v>
      </c>
      <c r="N90" s="19">
        <f>'Historical Data'!$AB$35/12*(1+$C$30)</f>
        <v>62.071833333333345</v>
      </c>
      <c r="O90" s="19">
        <f>SUM($C90:$N90)</f>
        <v>744.86200000000008</v>
      </c>
      <c r="P90" s="51">
        <f>'Historical Data'!AB35</f>
        <v>702.70000000000016</v>
      </c>
      <c r="Q90" s="30">
        <f t="shared" si="6"/>
        <v>5.9999999999999831E-2</v>
      </c>
    </row>
    <row r="91" spans="1:17" x14ac:dyDescent="0.35">
      <c r="A91" s="32" t="s">
        <v>129</v>
      </c>
      <c r="B91" s="33" t="s">
        <v>104</v>
      </c>
      <c r="C91" s="34">
        <f t="shared" ref="C91:O91" si="21">C89+C90</f>
        <v>101.38383333333334</v>
      </c>
      <c r="D91" s="34">
        <f t="shared" si="21"/>
        <v>101.38383333333334</v>
      </c>
      <c r="E91" s="34">
        <f t="shared" si="21"/>
        <v>101.38383333333334</v>
      </c>
      <c r="F91" s="34">
        <f t="shared" si="21"/>
        <v>101.38383333333334</v>
      </c>
      <c r="G91" s="34">
        <f t="shared" si="21"/>
        <v>101.38383333333334</v>
      </c>
      <c r="H91" s="34">
        <f t="shared" si="21"/>
        <v>101.38383333333334</v>
      </c>
      <c r="I91" s="34">
        <f t="shared" si="21"/>
        <v>102.69423333333333</v>
      </c>
      <c r="J91" s="34">
        <f t="shared" si="21"/>
        <v>102.69423333333333</v>
      </c>
      <c r="K91" s="34">
        <f t="shared" si="21"/>
        <v>102.69423333333333</v>
      </c>
      <c r="L91" s="34">
        <f t="shared" si="21"/>
        <v>102.69423333333333</v>
      </c>
      <c r="M91" s="34">
        <f t="shared" si="21"/>
        <v>102.69423333333333</v>
      </c>
      <c r="N91" s="34">
        <f t="shared" si="21"/>
        <v>102.69423333333333</v>
      </c>
      <c r="O91" s="34">
        <f t="shared" si="21"/>
        <v>1224.4683999999997</v>
      </c>
      <c r="P91" s="50">
        <f>'Historical Data'!AB36</f>
        <v>1124.0000000000002</v>
      </c>
      <c r="Q91" s="35">
        <f t="shared" si="6"/>
        <v>8.9384697508896327E-2</v>
      </c>
    </row>
    <row r="92" spans="1:17" x14ac:dyDescent="0.35">
      <c r="A92" s="7" t="s">
        <v>130</v>
      </c>
      <c r="B92" s="8"/>
      <c r="C92" s="8"/>
      <c r="D92" s="8"/>
      <c r="E92" s="8"/>
      <c r="F92" s="8"/>
      <c r="G92" s="8"/>
      <c r="H92" s="8"/>
      <c r="I92" s="8"/>
      <c r="J92" s="8"/>
      <c r="K92" s="8"/>
      <c r="L92" s="8"/>
      <c r="M92" s="8"/>
      <c r="N92" s="8"/>
      <c r="O92" s="8"/>
      <c r="P92" s="8"/>
      <c r="Q92" s="8"/>
    </row>
    <row r="93" spans="1:17" x14ac:dyDescent="0.35">
      <c r="A93" s="32" t="s">
        <v>131</v>
      </c>
      <c r="B93" s="33" t="s">
        <v>104</v>
      </c>
      <c r="C93" s="34">
        <f t="shared" ref="C93:O93" si="22">C74+C78+C82+C85+C88+C91</f>
        <v>2052.9991675093088</v>
      </c>
      <c r="D93" s="34">
        <f t="shared" si="22"/>
        <v>2056.6525857656338</v>
      </c>
      <c r="E93" s="34">
        <f t="shared" si="22"/>
        <v>2013.2795016306534</v>
      </c>
      <c r="F93" s="34">
        <f t="shared" si="22"/>
        <v>1991.841605111536</v>
      </c>
      <c r="G93" s="34">
        <f t="shared" si="22"/>
        <v>2074.1172145628721</v>
      </c>
      <c r="H93" s="34">
        <f t="shared" si="22"/>
        <v>2159.1660937321149</v>
      </c>
      <c r="I93" s="34">
        <f t="shared" si="22"/>
        <v>2481.072319579765</v>
      </c>
      <c r="J93" s="34">
        <f t="shared" si="22"/>
        <v>2406.4020615927743</v>
      </c>
      <c r="K93" s="34">
        <f t="shared" si="22"/>
        <v>2254.4795689920938</v>
      </c>
      <c r="L93" s="34">
        <f t="shared" si="22"/>
        <v>2180.0401830719793</v>
      </c>
      <c r="M93" s="34">
        <f t="shared" si="22"/>
        <v>2104.0313324088975</v>
      </c>
      <c r="N93" s="34">
        <f t="shared" si="22"/>
        <v>2155.8905097953389</v>
      </c>
      <c r="O93" s="34">
        <f t="shared" si="22"/>
        <v>25929.972143752973</v>
      </c>
      <c r="P93" s="50">
        <f>'Historical Data'!AB38</f>
        <v>23566.3</v>
      </c>
      <c r="Q93" s="35">
        <f>IF(P93=0,"",O93/P93-1)</f>
        <v>0.10029882263032275</v>
      </c>
    </row>
    <row r="94" spans="1:17" x14ac:dyDescent="0.35">
      <c r="A94" s="32" t="s">
        <v>132</v>
      </c>
      <c r="B94" s="33" t="s">
        <v>104</v>
      </c>
      <c r="C94" s="34">
        <f t="shared" ref="C94:O94" si="23">C69-C93</f>
        <v>382.61300337385137</v>
      </c>
      <c r="D94" s="34">
        <f t="shared" si="23"/>
        <v>386.26642163017596</v>
      </c>
      <c r="E94" s="34">
        <f t="shared" si="23"/>
        <v>359.59201759519624</v>
      </c>
      <c r="F94" s="34">
        <f t="shared" si="23"/>
        <v>336.40961272017512</v>
      </c>
      <c r="G94" s="34">
        <f t="shared" si="23"/>
        <v>390.85408867151136</v>
      </c>
      <c r="H94" s="34">
        <f t="shared" si="23"/>
        <v>443.32466115639727</v>
      </c>
      <c r="I94" s="34">
        <f t="shared" si="23"/>
        <v>651.28555300404832</v>
      </c>
      <c r="J94" s="34">
        <f t="shared" si="23"/>
        <v>604.44642851705748</v>
      </c>
      <c r="K94" s="34">
        <f t="shared" si="23"/>
        <v>502.80311566805449</v>
      </c>
      <c r="L94" s="34">
        <f t="shared" si="23"/>
        <v>453.82127665576172</v>
      </c>
      <c r="M94" s="34">
        <f t="shared" si="23"/>
        <v>405.64355949267974</v>
      </c>
      <c r="N94" s="34">
        <f t="shared" si="23"/>
        <v>440.8040567791204</v>
      </c>
      <c r="O94" s="34">
        <f t="shared" si="23"/>
        <v>5357.8637952640274</v>
      </c>
      <c r="P94" s="50">
        <f>'Historical Data'!AB39</f>
        <v>4009.7586490000067</v>
      </c>
      <c r="Q94" s="35">
        <f>IF(P94=0,"",O94/P94-1)</f>
        <v>0.33620605733969167</v>
      </c>
    </row>
    <row r="95" spans="1:17" x14ac:dyDescent="0.35">
      <c r="A95" s="5" t="s">
        <v>133</v>
      </c>
      <c r="B95" s="6" t="s">
        <v>108</v>
      </c>
      <c r="C95" s="37">
        <f t="shared" ref="C95:O95" si="24">IF(C67=0,0,C94/C67)</f>
        <v>0.10839286134468164</v>
      </c>
      <c r="D95" s="37">
        <f t="shared" si="24"/>
        <v>0.10910055966568455</v>
      </c>
      <c r="E95" s="37">
        <f t="shared" si="24"/>
        <v>0.10456465515740784</v>
      </c>
      <c r="F95" s="37">
        <f t="shared" si="24"/>
        <v>9.969827611347519E-2</v>
      </c>
      <c r="G95" s="37">
        <f t="shared" si="24"/>
        <v>0.10940870623097035</v>
      </c>
      <c r="H95" s="37">
        <f t="shared" si="24"/>
        <v>0.11753894442211697</v>
      </c>
      <c r="I95" s="37">
        <f t="shared" si="24"/>
        <v>0.1434660565148336</v>
      </c>
      <c r="J95" s="37">
        <f t="shared" si="24"/>
        <v>0.13852176123998705</v>
      </c>
      <c r="K95" s="37">
        <f t="shared" si="24"/>
        <v>0.12582465763887363</v>
      </c>
      <c r="L95" s="37">
        <f t="shared" si="24"/>
        <v>0.11888881996277972</v>
      </c>
      <c r="M95" s="37">
        <f t="shared" si="24"/>
        <v>0.1115260215389387</v>
      </c>
      <c r="N95" s="37">
        <f t="shared" si="24"/>
        <v>0.11713152678515898</v>
      </c>
      <c r="O95" s="37">
        <f t="shared" si="24"/>
        <v>0.1181585721025207</v>
      </c>
      <c r="P95" s="10">
        <f>'Historical Data'!AB40</f>
        <v>0.10024406985481346</v>
      </c>
      <c r="Q95" s="30">
        <f>O95-P95</f>
        <v>1.7914502247707242E-2</v>
      </c>
    </row>
    <row r="96" spans="1:17" x14ac:dyDescent="0.35">
      <c r="A96" s="5" t="s">
        <v>134</v>
      </c>
      <c r="B96" s="6" t="s">
        <v>104</v>
      </c>
      <c r="C96" s="19">
        <f>'Historical Data'!$AB$41/12*(1+$C$31)</f>
        <v>70.631999999999991</v>
      </c>
      <c r="D96" s="19">
        <f>'Historical Data'!$AB$41/12*(1+$C$31)</f>
        <v>70.631999999999991</v>
      </c>
      <c r="E96" s="19">
        <f>'Historical Data'!$AB$41/12*(1+$C$31)</f>
        <v>70.631999999999991</v>
      </c>
      <c r="F96" s="19">
        <f>'Historical Data'!$AB$41/12*(1+$C$31)</f>
        <v>70.631999999999991</v>
      </c>
      <c r="G96" s="19">
        <f>'Historical Data'!$AB$41/12*(1+$C$31)</f>
        <v>70.631999999999991</v>
      </c>
      <c r="H96" s="19">
        <f>'Historical Data'!$AB$41/12*(1+$C$31)</f>
        <v>70.631999999999991</v>
      </c>
      <c r="I96" s="19">
        <f>'Historical Data'!$AB$41/12*(1+$C$31)</f>
        <v>70.631999999999991</v>
      </c>
      <c r="J96" s="19">
        <f>'Historical Data'!$AB$41/12*(1+$C$31)</f>
        <v>70.631999999999991</v>
      </c>
      <c r="K96" s="19">
        <f>'Historical Data'!$AB$41/12*(1+$C$31)</f>
        <v>70.631999999999991</v>
      </c>
      <c r="L96" s="19">
        <f>'Historical Data'!$AB$41/12*(1+$C$31)</f>
        <v>70.631999999999991</v>
      </c>
      <c r="M96" s="19">
        <f>'Historical Data'!$AB$41/12*(1+$C$31)</f>
        <v>70.631999999999991</v>
      </c>
      <c r="N96" s="19">
        <f>'Historical Data'!$AB$41/12*(1+$C$31)</f>
        <v>70.631999999999991</v>
      </c>
      <c r="O96" s="19">
        <f>SUM($C96:$N96)</f>
        <v>847.58399999999972</v>
      </c>
      <c r="P96" s="51">
        <f>'Historical Data'!AB41</f>
        <v>784.79999999999984</v>
      </c>
      <c r="Q96" s="30">
        <f>IF(P96=0,"",O96/P96-1)</f>
        <v>7.9999999999999849E-2</v>
      </c>
    </row>
    <row r="97" spans="1:17" x14ac:dyDescent="0.35">
      <c r="A97" s="32" t="s">
        <v>135</v>
      </c>
      <c r="B97" s="33" t="s">
        <v>104</v>
      </c>
      <c r="C97" s="34">
        <f t="shared" ref="C97:O97" si="25">C94-C96</f>
        <v>311.98100337385137</v>
      </c>
      <c r="D97" s="34">
        <f t="shared" si="25"/>
        <v>315.63442163017595</v>
      </c>
      <c r="E97" s="34">
        <f t="shared" si="25"/>
        <v>288.96001759519623</v>
      </c>
      <c r="F97" s="34">
        <f t="shared" si="25"/>
        <v>265.77761272017511</v>
      </c>
      <c r="G97" s="34">
        <f t="shared" si="25"/>
        <v>320.22208867151136</v>
      </c>
      <c r="H97" s="34">
        <f t="shared" si="25"/>
        <v>372.69266115639726</v>
      </c>
      <c r="I97" s="34">
        <f t="shared" si="25"/>
        <v>580.65355300404838</v>
      </c>
      <c r="J97" s="34">
        <f t="shared" si="25"/>
        <v>533.81442851705754</v>
      </c>
      <c r="K97" s="34">
        <f t="shared" si="25"/>
        <v>432.17111566805448</v>
      </c>
      <c r="L97" s="34">
        <f t="shared" si="25"/>
        <v>383.18927665576172</v>
      </c>
      <c r="M97" s="34">
        <f t="shared" si="25"/>
        <v>335.01155949267974</v>
      </c>
      <c r="N97" s="34">
        <f t="shared" si="25"/>
        <v>370.1720567791204</v>
      </c>
      <c r="O97" s="34">
        <f t="shared" si="25"/>
        <v>4510.2797952640276</v>
      </c>
      <c r="P97" s="50">
        <f>'Historical Data'!AB42</f>
        <v>3224.958649000007</v>
      </c>
      <c r="Q97" s="35">
        <f>IF(P97=0,"",O97/P97-1)</f>
        <v>0.39855430290945648</v>
      </c>
    </row>
    <row r="98" spans="1:17" x14ac:dyDescent="0.35">
      <c r="A98" s="7" t="s">
        <v>136</v>
      </c>
      <c r="B98" s="8"/>
      <c r="C98" s="8"/>
      <c r="D98" s="8"/>
      <c r="E98" s="8"/>
      <c r="F98" s="8"/>
      <c r="G98" s="8"/>
      <c r="H98" s="8"/>
      <c r="I98" s="8"/>
      <c r="J98" s="8"/>
      <c r="K98" s="8"/>
      <c r="L98" s="8"/>
      <c r="M98" s="8"/>
      <c r="N98" s="8"/>
      <c r="O98" s="8"/>
      <c r="P98" s="8"/>
      <c r="Q98" s="8"/>
    </row>
    <row r="99" spans="1:17" x14ac:dyDescent="0.35">
      <c r="A99" s="5" t="s">
        <v>137</v>
      </c>
      <c r="B99" s="6" t="s">
        <v>99</v>
      </c>
      <c r="C99" s="28">
        <v>60</v>
      </c>
      <c r="D99" s="28">
        <v>60</v>
      </c>
      <c r="E99" s="28">
        <v>60</v>
      </c>
      <c r="F99" s="28">
        <v>60</v>
      </c>
      <c r="G99" s="28">
        <v>60</v>
      </c>
      <c r="H99" s="28">
        <v>62</v>
      </c>
      <c r="I99" s="28">
        <v>62</v>
      </c>
      <c r="J99" s="28">
        <v>62</v>
      </c>
      <c r="K99" s="28">
        <v>62</v>
      </c>
      <c r="L99" s="28">
        <v>63</v>
      </c>
      <c r="M99" s="28">
        <v>63</v>
      </c>
      <c r="N99" s="28">
        <v>63</v>
      </c>
      <c r="O99" s="9">
        <f t="shared" ref="O99:O104" si="26">AVERAGE($C99:$N99)</f>
        <v>61.416666666666664</v>
      </c>
      <c r="P99" s="49">
        <f>'Historical Data'!AB44</f>
        <v>57.666666666666664</v>
      </c>
      <c r="Q99" s="30">
        <f t="shared" ref="Q99:Q105" si="27">IF(P99=0,"",O99/P99-1)</f>
        <v>6.5028901734104139E-2</v>
      </c>
    </row>
    <row r="100" spans="1:17" x14ac:dyDescent="0.35">
      <c r="A100" s="5" t="s">
        <v>138</v>
      </c>
      <c r="B100" s="6" t="s">
        <v>99</v>
      </c>
      <c r="C100" s="28">
        <v>150</v>
      </c>
      <c r="D100" s="28">
        <v>150</v>
      </c>
      <c r="E100" s="28">
        <v>150</v>
      </c>
      <c r="F100" s="28">
        <v>150</v>
      </c>
      <c r="G100" s="28">
        <v>150</v>
      </c>
      <c r="H100" s="28">
        <v>150</v>
      </c>
      <c r="I100" s="28">
        <v>150</v>
      </c>
      <c r="J100" s="28">
        <v>150</v>
      </c>
      <c r="K100" s="28">
        <v>154</v>
      </c>
      <c r="L100" s="28">
        <v>154</v>
      </c>
      <c r="M100" s="28">
        <v>154</v>
      </c>
      <c r="N100" s="28">
        <v>154</v>
      </c>
      <c r="O100" s="9">
        <f t="shared" si="26"/>
        <v>151.33333333333334</v>
      </c>
      <c r="P100" s="49">
        <f>'Historical Data'!AB45</f>
        <v>145.66666666666666</v>
      </c>
      <c r="Q100" s="30">
        <f t="shared" si="27"/>
        <v>3.8901601830663823E-2</v>
      </c>
    </row>
    <row r="101" spans="1:17" x14ac:dyDescent="0.35">
      <c r="A101" s="5" t="s">
        <v>139</v>
      </c>
      <c r="B101" s="6" t="s">
        <v>99</v>
      </c>
      <c r="C101" s="28">
        <v>65</v>
      </c>
      <c r="D101" s="28">
        <v>65</v>
      </c>
      <c r="E101" s="28">
        <v>65</v>
      </c>
      <c r="F101" s="28">
        <v>67</v>
      </c>
      <c r="G101" s="28">
        <v>67</v>
      </c>
      <c r="H101" s="28">
        <v>67</v>
      </c>
      <c r="I101" s="28">
        <v>67</v>
      </c>
      <c r="J101" s="28">
        <v>67</v>
      </c>
      <c r="K101" s="28">
        <v>67</v>
      </c>
      <c r="L101" s="28">
        <v>67</v>
      </c>
      <c r="M101" s="28">
        <v>67</v>
      </c>
      <c r="N101" s="28">
        <v>67</v>
      </c>
      <c r="O101" s="9">
        <f t="shared" si="26"/>
        <v>66.5</v>
      </c>
      <c r="P101" s="49">
        <f>'Historical Data'!AB46</f>
        <v>62.666666666666664</v>
      </c>
      <c r="Q101" s="30">
        <f t="shared" si="27"/>
        <v>6.1170212765957466E-2</v>
      </c>
    </row>
    <row r="102" spans="1:17" x14ac:dyDescent="0.35">
      <c r="A102" s="5" t="s">
        <v>140</v>
      </c>
      <c r="B102" s="6" t="s">
        <v>99</v>
      </c>
      <c r="C102" s="28">
        <v>14</v>
      </c>
      <c r="D102" s="28">
        <v>14</v>
      </c>
      <c r="E102" s="28">
        <v>14</v>
      </c>
      <c r="F102" s="28">
        <v>14</v>
      </c>
      <c r="G102" s="28">
        <v>14</v>
      </c>
      <c r="H102" s="28">
        <v>14</v>
      </c>
      <c r="I102" s="28">
        <v>14</v>
      </c>
      <c r="J102" s="28">
        <v>14</v>
      </c>
      <c r="K102" s="28">
        <v>14</v>
      </c>
      <c r="L102" s="28">
        <v>14</v>
      </c>
      <c r="M102" s="28">
        <v>14</v>
      </c>
      <c r="N102" s="28">
        <v>14</v>
      </c>
      <c r="O102" s="9">
        <f t="shared" si="26"/>
        <v>14</v>
      </c>
      <c r="P102" s="49">
        <f>'Historical Data'!AB47</f>
        <v>13.5</v>
      </c>
      <c r="Q102" s="30">
        <f t="shared" si="27"/>
        <v>3.7037037037036979E-2</v>
      </c>
    </row>
    <row r="103" spans="1:17" x14ac:dyDescent="0.35">
      <c r="A103" s="5" t="s">
        <v>141</v>
      </c>
      <c r="B103" s="6" t="s">
        <v>99</v>
      </c>
      <c r="C103" s="28">
        <v>52</v>
      </c>
      <c r="D103" s="28">
        <v>52</v>
      </c>
      <c r="E103" s="28">
        <v>52</v>
      </c>
      <c r="F103" s="28">
        <v>54</v>
      </c>
      <c r="G103" s="28">
        <v>54</v>
      </c>
      <c r="H103" s="28">
        <v>54</v>
      </c>
      <c r="I103" s="28">
        <v>54</v>
      </c>
      <c r="J103" s="28">
        <v>54</v>
      </c>
      <c r="K103" s="28">
        <v>54</v>
      </c>
      <c r="L103" s="28">
        <v>54</v>
      </c>
      <c r="M103" s="28">
        <v>54</v>
      </c>
      <c r="N103" s="28">
        <v>54</v>
      </c>
      <c r="O103" s="9">
        <f t="shared" si="26"/>
        <v>53.5</v>
      </c>
      <c r="P103" s="49">
        <f>'Historical Data'!AB48</f>
        <v>49</v>
      </c>
      <c r="Q103" s="30">
        <f t="shared" si="27"/>
        <v>9.1836734693877542E-2</v>
      </c>
    </row>
    <row r="104" spans="1:17" x14ac:dyDescent="0.35">
      <c r="A104" s="5" t="s">
        <v>142</v>
      </c>
      <c r="B104" s="6" t="s">
        <v>99</v>
      </c>
      <c r="C104" s="28">
        <v>30</v>
      </c>
      <c r="D104" s="28">
        <v>30</v>
      </c>
      <c r="E104" s="28">
        <v>30</v>
      </c>
      <c r="F104" s="28">
        <v>30</v>
      </c>
      <c r="G104" s="28">
        <v>30</v>
      </c>
      <c r="H104" s="28">
        <v>30</v>
      </c>
      <c r="I104" s="28">
        <v>31</v>
      </c>
      <c r="J104" s="28">
        <v>31</v>
      </c>
      <c r="K104" s="28">
        <v>31</v>
      </c>
      <c r="L104" s="28">
        <v>31</v>
      </c>
      <c r="M104" s="28">
        <v>31</v>
      </c>
      <c r="N104" s="28">
        <v>31</v>
      </c>
      <c r="O104" s="9">
        <f t="shared" si="26"/>
        <v>30.5</v>
      </c>
      <c r="P104" s="49">
        <f>'Historical Data'!AB49</f>
        <v>29</v>
      </c>
      <c r="Q104" s="30">
        <f t="shared" si="27"/>
        <v>5.1724137931034475E-2</v>
      </c>
    </row>
    <row r="105" spans="1:17" x14ac:dyDescent="0.35">
      <c r="A105" s="32" t="s">
        <v>143</v>
      </c>
      <c r="B105" s="33" t="s">
        <v>99</v>
      </c>
      <c r="C105" s="38">
        <f t="shared" ref="C105:O105" si="28">C99+C100+C101+C102+C103+C104</f>
        <v>371</v>
      </c>
      <c r="D105" s="38">
        <f t="shared" si="28"/>
        <v>371</v>
      </c>
      <c r="E105" s="38">
        <f t="shared" si="28"/>
        <v>371</v>
      </c>
      <c r="F105" s="38">
        <f t="shared" si="28"/>
        <v>375</v>
      </c>
      <c r="G105" s="38">
        <f t="shared" si="28"/>
        <v>375</v>
      </c>
      <c r="H105" s="38">
        <f t="shared" si="28"/>
        <v>377</v>
      </c>
      <c r="I105" s="38">
        <f t="shared" si="28"/>
        <v>378</v>
      </c>
      <c r="J105" s="38">
        <f t="shared" si="28"/>
        <v>378</v>
      </c>
      <c r="K105" s="38">
        <f t="shared" si="28"/>
        <v>382</v>
      </c>
      <c r="L105" s="38">
        <f t="shared" si="28"/>
        <v>383</v>
      </c>
      <c r="M105" s="38">
        <f t="shared" si="28"/>
        <v>383</v>
      </c>
      <c r="N105" s="38">
        <f t="shared" si="28"/>
        <v>383</v>
      </c>
      <c r="O105" s="38">
        <f t="shared" si="28"/>
        <v>377.25</v>
      </c>
      <c r="P105" s="52">
        <f>'Historical Data'!AB50</f>
        <v>357.5</v>
      </c>
      <c r="Q105" s="35">
        <f t="shared" si="27"/>
        <v>5.524475524475525E-2</v>
      </c>
    </row>
    <row r="106" spans="1:17" x14ac:dyDescent="0.35">
      <c r="A106" s="7" t="s">
        <v>144</v>
      </c>
      <c r="B106" s="8"/>
      <c r="C106" s="8"/>
      <c r="D106" s="8"/>
      <c r="E106" s="8"/>
      <c r="F106" s="8"/>
      <c r="G106" s="8"/>
      <c r="H106" s="8"/>
      <c r="I106" s="8"/>
      <c r="J106" s="8"/>
      <c r="K106" s="8"/>
      <c r="L106" s="8"/>
      <c r="M106" s="8"/>
      <c r="N106" s="8"/>
      <c r="O106" s="8"/>
      <c r="P106" s="8"/>
      <c r="Q106" s="8"/>
    </row>
    <row r="107" spans="1:17" x14ac:dyDescent="0.35">
      <c r="A107" s="5" t="s">
        <v>145</v>
      </c>
      <c r="B107" s="6" t="s">
        <v>108</v>
      </c>
      <c r="C107" s="37">
        <f t="shared" ref="C107:O107" si="29">IF(C67=0,0,(C80+C81)/C67)</f>
        <v>0.315</v>
      </c>
      <c r="D107" s="37">
        <f t="shared" si="29"/>
        <v>0.315</v>
      </c>
      <c r="E107" s="37">
        <f t="shared" si="29"/>
        <v>0.315</v>
      </c>
      <c r="F107" s="37">
        <f t="shared" si="29"/>
        <v>0.31499999999999995</v>
      </c>
      <c r="G107" s="37">
        <f t="shared" si="29"/>
        <v>0.31500000000000006</v>
      </c>
      <c r="H107" s="37">
        <f t="shared" si="29"/>
        <v>0.315</v>
      </c>
      <c r="I107" s="37">
        <f t="shared" si="29"/>
        <v>0.315</v>
      </c>
      <c r="J107" s="37">
        <f t="shared" si="29"/>
        <v>0.315</v>
      </c>
      <c r="K107" s="37">
        <f t="shared" si="29"/>
        <v>0.315</v>
      </c>
      <c r="L107" s="37">
        <f t="shared" si="29"/>
        <v>0.315</v>
      </c>
      <c r="M107" s="37">
        <f t="shared" si="29"/>
        <v>0.315</v>
      </c>
      <c r="N107" s="37">
        <f t="shared" si="29"/>
        <v>0.315</v>
      </c>
      <c r="O107" s="37">
        <f t="shared" si="29"/>
        <v>0.31499999999999995</v>
      </c>
      <c r="P107" s="10">
        <f>'Historical Data'!AB52</f>
        <v>0.33010784125723353</v>
      </c>
      <c r="Q107" s="30">
        <f>O107-P107</f>
        <v>-1.5107841257233579E-2</v>
      </c>
    </row>
    <row r="108" spans="1:17" x14ac:dyDescent="0.35">
      <c r="A108" s="5" t="s">
        <v>146</v>
      </c>
      <c r="B108" s="6" t="s">
        <v>108</v>
      </c>
      <c r="C108" s="37">
        <f t="shared" ref="C108:O108" si="30">IF(C67=0,0,(C72+C75+C79+C83+C86+C89)/C67)</f>
        <v>0.11673893012742403</v>
      </c>
      <c r="D108" s="37">
        <f t="shared" si="30"/>
        <v>0.11638976084488936</v>
      </c>
      <c r="E108" s="37">
        <f t="shared" si="30"/>
        <v>0.1198256023263307</v>
      </c>
      <c r="F108" s="37">
        <f t="shared" si="30"/>
        <v>0.12403013413172501</v>
      </c>
      <c r="G108" s="37">
        <f t="shared" si="30"/>
        <v>0.11715077999533248</v>
      </c>
      <c r="H108" s="37">
        <f t="shared" si="30"/>
        <v>0.11158967041212929</v>
      </c>
      <c r="I108" s="37">
        <f t="shared" si="30"/>
        <v>9.3001908925662763E-2</v>
      </c>
      <c r="J108" s="37">
        <f t="shared" si="30"/>
        <v>9.6755204569591538E-2</v>
      </c>
      <c r="K108" s="37">
        <f t="shared" si="30"/>
        <v>0.10632657591487722</v>
      </c>
      <c r="L108" s="37">
        <f t="shared" si="30"/>
        <v>0.11161988531241311</v>
      </c>
      <c r="M108" s="37">
        <f t="shared" si="30"/>
        <v>0.11714318655865365</v>
      </c>
      <c r="N108" s="37">
        <f t="shared" si="30"/>
        <v>0.11321751808932486</v>
      </c>
      <c r="O108" s="37">
        <f t="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v>52.198280613088869</v>
      </c>
      <c r="D109" s="9">
        <f t="shared" si="31"/>
        <v>52.198280613088869</v>
      </c>
      <c r="E109" s="9">
        <f t="shared" si="31"/>
        <v>52.198280613088869</v>
      </c>
      <c r="F109" s="9">
        <f t="shared" si="31"/>
        <v>52.198280613088869</v>
      </c>
      <c r="G109" s="9">
        <f t="shared" si="31"/>
        <v>52.198280613088869</v>
      </c>
      <c r="H109" s="9">
        <f t="shared" si="31"/>
        <v>52.198280613088876</v>
      </c>
      <c r="I109" s="9">
        <f t="shared" si="31"/>
        <v>52.198280613088869</v>
      </c>
      <c r="J109" s="9">
        <f t="shared" si="31"/>
        <v>52.198280613088876</v>
      </c>
      <c r="K109" s="9">
        <f t="shared" si="31"/>
        <v>52.198280613088869</v>
      </c>
      <c r="L109" s="9">
        <f t="shared" si="31"/>
        <v>52.198280613088876</v>
      </c>
      <c r="M109" s="9">
        <f t="shared" si="31"/>
        <v>52.198280613088869</v>
      </c>
      <c r="N109" s="9">
        <f t="shared" si="31"/>
        <v>52.198280613088876</v>
      </c>
      <c r="O109" s="9">
        <f t="shared" si="31"/>
        <v>52.198280613088876</v>
      </c>
      <c r="P109" s="49">
        <f>'Historical Data'!AB54</f>
        <v>51.174784914793008</v>
      </c>
      <c r="Q109" s="30">
        <f>IF(P109=0,"",O109/P109-1)</f>
        <v>2.000000000000024E-2</v>
      </c>
    </row>
    <row r="110" spans="1:17" x14ac:dyDescent="0.35">
      <c r="A110" s="5" t="s">
        <v>148</v>
      </c>
      <c r="B110" s="6" t="s">
        <v>149</v>
      </c>
      <c r="C110" s="39">
        <f t="shared" ref="C110:O110" si="32">IF((C80+C81)=0,0,C67/(C80+C81))</f>
        <v>3.1746031746031749</v>
      </c>
      <c r="D110" s="39">
        <f t="shared" si="32"/>
        <v>3.1746031746031744</v>
      </c>
      <c r="E110" s="39">
        <f t="shared" si="32"/>
        <v>3.1746031746031749</v>
      </c>
      <c r="F110" s="39">
        <f t="shared" si="32"/>
        <v>3.1746031746031749</v>
      </c>
      <c r="G110" s="39">
        <f t="shared" si="32"/>
        <v>3.174603174603174</v>
      </c>
      <c r="H110" s="39">
        <f t="shared" si="32"/>
        <v>3.1746031746031749</v>
      </c>
      <c r="I110" s="39">
        <f t="shared" si="32"/>
        <v>3.1746031746031744</v>
      </c>
      <c r="J110" s="39">
        <f t="shared" si="32"/>
        <v>3.1746031746031744</v>
      </c>
      <c r="K110" s="39">
        <f t="shared" si="32"/>
        <v>3.1746031746031744</v>
      </c>
      <c r="L110" s="39">
        <f t="shared" si="32"/>
        <v>3.1746031746031744</v>
      </c>
      <c r="M110" s="39">
        <f t="shared" si="32"/>
        <v>3.1746031746031749</v>
      </c>
      <c r="N110" s="39">
        <f t="shared" si="32"/>
        <v>3.1746031746031744</v>
      </c>
      <c r="O110" s="39">
        <f t="shared" si="32"/>
        <v>3.1746031746031749</v>
      </c>
      <c r="P110" s="53">
        <f>'Historical Data'!AB55</f>
        <v>3.0293130759676781</v>
      </c>
      <c r="Q110" s="30">
        <f>IF(P110=0,"",O110/P110-1)</f>
        <v>4.7961400816614486E-2</v>
      </c>
    </row>
    <row r="111" spans="1:17" x14ac:dyDescent="0.35">
      <c r="A111" s="5" t="s">
        <v>150</v>
      </c>
      <c r="B111" s="6" t="s">
        <v>104</v>
      </c>
      <c r="C111" s="9">
        <f t="shared" ref="C111:N111" si="33">IF(C105=0,0,C67/(C105*1))</f>
        <v>9.5144817019538266</v>
      </c>
      <c r="D111" s="9">
        <f t="shared" si="33"/>
        <v>9.543025147059689</v>
      </c>
      <c r="E111" s="9">
        <f t="shared" si="33"/>
        <v>9.2693914575797862</v>
      </c>
      <c r="F111" s="9">
        <f t="shared" si="33"/>
        <v>8.9980723394462281</v>
      </c>
      <c r="G111" s="9">
        <f t="shared" si="33"/>
        <v>9.5264591429348169</v>
      </c>
      <c r="H111" s="9">
        <f t="shared" si="33"/>
        <v>10.004577537725416</v>
      </c>
      <c r="I111" s="9">
        <f t="shared" si="33"/>
        <v>12.00965367910365</v>
      </c>
      <c r="J111" s="9">
        <f t="shared" si="33"/>
        <v>11.543779196801749</v>
      </c>
      <c r="K111" s="9">
        <f t="shared" si="33"/>
        <v>10.460894926246866</v>
      </c>
      <c r="L111" s="9">
        <f t="shared" si="33"/>
        <v>9.9665548860171072</v>
      </c>
      <c r="M111" s="9">
        <f t="shared" si="33"/>
        <v>9.4966318231413993</v>
      </c>
      <c r="N111" s="9">
        <f t="shared" si="33"/>
        <v>9.8259150360406373</v>
      </c>
      <c r="O111" s="9">
        <f>IF(O105=0,0,O67/(O105*12))</f>
        <v>10.01649873353022</v>
      </c>
      <c r="P111" s="49">
        <f>'Historical Data'!AB56</f>
        <v>9.3239996850815867</v>
      </c>
      <c r="Q111" s="30">
        <f>IF(P111=0,"",O111/P111-1)</f>
        <v>7.4270599725205111E-2</v>
      </c>
    </row>
    <row r="112" spans="1:17" x14ac:dyDescent="0.35">
      <c r="A112" s="5" t="s">
        <v>151</v>
      </c>
      <c r="B112" s="6" t="s">
        <v>104</v>
      </c>
      <c r="C112" s="27">
        <f t="shared" ref="C112:N112" si="34">IF(C105=0,0,(C72+C75+C79+C83+C86+C89)/(C105*1))</f>
        <v>1.1107104146030424</v>
      </c>
      <c r="D112" s="27">
        <f t="shared" si="34"/>
        <v>1.1107104146030424</v>
      </c>
      <c r="E112" s="27">
        <f t="shared" si="34"/>
        <v>1.1107104146030424</v>
      </c>
      <c r="F112" s="27">
        <f t="shared" si="34"/>
        <v>1.1160321191884803</v>
      </c>
      <c r="G112" s="27">
        <f t="shared" si="34"/>
        <v>1.1160321191884803</v>
      </c>
      <c r="H112" s="27">
        <f t="shared" si="34"/>
        <v>1.1164075100473712</v>
      </c>
      <c r="I112" s="27">
        <f t="shared" si="34"/>
        <v>1.1169207176927485</v>
      </c>
      <c r="J112" s="27">
        <f t="shared" si="34"/>
        <v>1.1169207176927485</v>
      </c>
      <c r="K112" s="27">
        <f t="shared" si="34"/>
        <v>1.1122711385131412</v>
      </c>
      <c r="L112" s="27">
        <f t="shared" si="34"/>
        <v>1.1124657133371001</v>
      </c>
      <c r="M112" s="27">
        <f t="shared" si="34"/>
        <v>1.1124657133371001</v>
      </c>
      <c r="N112" s="27">
        <f t="shared" si="34"/>
        <v>1.1124657133371001</v>
      </c>
      <c r="O112" s="27">
        <f>IF(O105=0,0,(O72+O75+O79+O83+O86+O89)/(O105*12))</f>
        <v>1.1136808381366181</v>
      </c>
      <c r="P112" s="54">
        <f>'Historical Data'!AB57</f>
        <v>1.0267832167832167</v>
      </c>
      <c r="Q112" s="30">
        <f>IF(P112=0,"",O112/P112-1)</f>
        <v>8.4630932735383801E-2</v>
      </c>
    </row>
    <row r="114" spans="1:1" x14ac:dyDescent="0.35">
      <c r="A114" s="6" t="s">
        <v>238</v>
      </c>
    </row>
  </sheetData>
  <dataValidations count="1">
    <dataValidation type="list" sqref="E43:E58" xr:uid="{00000000-0002-0000-0300-000000000000}">
      <formula1>"Revenue,Orders,None"</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A1:P176"/>
  <sheetViews>
    <sheetView zoomScale="70" zoomScaleNormal="70" workbookViewId="0">
      <selection activeCell="O2" sqref="O2"/>
    </sheetView>
  </sheetViews>
  <sheetFormatPr defaultColWidth="8.6328125" defaultRowHeight="14.5" x14ac:dyDescent="0.35"/>
  <cols>
    <col min="1" max="1" width="52" customWidth="1"/>
    <col min="2" max="2" width="9" customWidth="1"/>
    <col min="3" max="14" width="11" customWidth="1"/>
    <col min="15" max="15" width="12" customWidth="1"/>
    <col min="16" max="16" width="11" customWidth="1"/>
  </cols>
  <sheetData>
    <row r="1" spans="1:16" ht="18" x14ac:dyDescent="0.4">
      <c r="A1" s="23" t="s">
        <v>239</v>
      </c>
    </row>
    <row r="2" spans="1:16" x14ac:dyDescent="0.35">
      <c r="A2" s="6" t="s">
        <v>240</v>
      </c>
    </row>
    <row r="3" spans="1:16" x14ac:dyDescent="0.35">
      <c r="A3" s="5" t="s">
        <v>12</v>
      </c>
      <c r="C3" s="11">
        <f>'Assumptions &amp; Budget'!$C$6</f>
        <v>46266</v>
      </c>
      <c r="D3" s="5" t="s">
        <v>241</v>
      </c>
      <c r="F3" s="55">
        <f>'Assumptions &amp; Budget'!$C$7</f>
        <v>6</v>
      </c>
      <c r="G3" s="6" t="s">
        <v>242</v>
      </c>
    </row>
    <row r="5" spans="1:16" ht="27.75" customHeight="1" x14ac:dyDescent="0.35">
      <c r="A5" s="17" t="s">
        <v>89</v>
      </c>
      <c r="B5" s="17" t="s">
        <v>90</v>
      </c>
      <c r="C5" s="24">
        <f>'Assumptions &amp; Budget'!C61</f>
        <v>46113</v>
      </c>
      <c r="D5" s="24">
        <f>'Assumptions &amp; Budget'!D61</f>
        <v>46143</v>
      </c>
      <c r="E5" s="24">
        <f>'Assumptions &amp; Budget'!E61</f>
        <v>46174</v>
      </c>
      <c r="F5" s="24">
        <f>'Assumptions &amp; Budget'!F61</f>
        <v>46204</v>
      </c>
      <c r="G5" s="24">
        <f>'Assumptions &amp; Budget'!G61</f>
        <v>46235</v>
      </c>
      <c r="H5" s="24">
        <f>'Assumptions &amp; Budget'!H61</f>
        <v>46266</v>
      </c>
      <c r="I5" s="24">
        <f>'Assumptions &amp; Budget'!I61</f>
        <v>46296</v>
      </c>
      <c r="J5" s="24">
        <f>'Assumptions &amp; Budget'!J61</f>
        <v>46327</v>
      </c>
      <c r="K5" s="24">
        <f>'Assumptions &amp; Budget'!K61</f>
        <v>46357</v>
      </c>
      <c r="L5" s="24">
        <f>'Assumptions &amp; Budget'!L61</f>
        <v>46388</v>
      </c>
      <c r="M5" s="24">
        <f>'Assumptions &amp; Budget'!M61</f>
        <v>46419</v>
      </c>
      <c r="N5" s="24">
        <f>'Assumptions &amp; Budget'!N61</f>
        <v>46447</v>
      </c>
      <c r="O5" s="17" t="s">
        <v>243</v>
      </c>
      <c r="P5" s="17" t="s">
        <v>244</v>
      </c>
    </row>
    <row r="6" spans="1:16" x14ac:dyDescent="0.35">
      <c r="A6" s="6" t="s">
        <v>245</v>
      </c>
      <c r="C6" s="25" t="str">
        <f t="shared" ref="C6:N6" si="0">IF(C5&lt;=$C$3,"Actual","–")</f>
        <v>Actual</v>
      </c>
      <c r="D6" s="25" t="str">
        <f t="shared" si="0"/>
        <v>Actual</v>
      </c>
      <c r="E6" s="25" t="str">
        <f t="shared" si="0"/>
        <v>Actual</v>
      </c>
      <c r="F6" s="25" t="str">
        <f t="shared" si="0"/>
        <v>Actual</v>
      </c>
      <c r="G6" s="25" t="str">
        <f t="shared" si="0"/>
        <v>Actual</v>
      </c>
      <c r="H6" s="25" t="str">
        <f t="shared" si="0"/>
        <v>Actual</v>
      </c>
      <c r="I6" s="25" t="str">
        <f t="shared" si="0"/>
        <v>–</v>
      </c>
      <c r="J6" s="25" t="str">
        <f t="shared" si="0"/>
        <v>–</v>
      </c>
      <c r="K6" s="25" t="str">
        <f t="shared" si="0"/>
        <v>–</v>
      </c>
      <c r="L6" s="25" t="str">
        <f t="shared" si="0"/>
        <v>–</v>
      </c>
      <c r="M6" s="25" t="str">
        <f t="shared" si="0"/>
        <v>–</v>
      </c>
      <c r="N6" s="25" t="str">
        <f t="shared" si="0"/>
        <v>–</v>
      </c>
    </row>
    <row r="8" spans="1:16" x14ac:dyDescent="0.35">
      <c r="A8" s="7" t="s">
        <v>246</v>
      </c>
      <c r="B8" s="8"/>
      <c r="C8" s="8"/>
      <c r="D8" s="8"/>
      <c r="E8" s="8"/>
      <c r="F8" s="8"/>
      <c r="G8" s="8"/>
      <c r="H8" s="8"/>
      <c r="I8" s="8"/>
      <c r="J8" s="8"/>
      <c r="K8" s="8"/>
      <c r="L8" s="8"/>
      <c r="M8" s="8"/>
      <c r="N8" s="8"/>
      <c r="O8" s="8"/>
      <c r="P8" s="8"/>
    </row>
    <row r="9" spans="1:16" x14ac:dyDescent="0.35">
      <c r="A9" s="7" t="s">
        <v>95</v>
      </c>
      <c r="B9" s="8"/>
      <c r="C9" s="8"/>
      <c r="D9" s="8"/>
      <c r="E9" s="8"/>
      <c r="F9" s="8"/>
      <c r="G9" s="8"/>
      <c r="H9" s="8"/>
      <c r="I9" s="8"/>
      <c r="J9" s="8"/>
      <c r="K9" s="8"/>
      <c r="L9" s="8"/>
      <c r="M9" s="8"/>
      <c r="N9" s="8"/>
      <c r="O9" s="8"/>
      <c r="P9" s="8"/>
    </row>
    <row r="10" spans="1:16" x14ac:dyDescent="0.35">
      <c r="A10" s="5" t="s">
        <v>98</v>
      </c>
      <c r="B10" s="6" t="s">
        <v>99</v>
      </c>
      <c r="C10" s="28">
        <v>512605</v>
      </c>
      <c r="D10" s="28">
        <v>504896</v>
      </c>
      <c r="E10" s="28">
        <v>502172</v>
      </c>
      <c r="F10" s="28">
        <v>490655</v>
      </c>
      <c r="G10" s="28">
        <v>516802</v>
      </c>
      <c r="H10" s="28">
        <v>545874</v>
      </c>
      <c r="I10" s="28"/>
      <c r="J10" s="28"/>
      <c r="K10" s="28"/>
      <c r="L10" s="28"/>
      <c r="M10" s="28"/>
      <c r="N10" s="28"/>
      <c r="O10" s="29">
        <f>SUMIFS($C10:$N10,$C$5:$N$5,"&lt;="&amp;$C$3)</f>
        <v>3073004</v>
      </c>
    </row>
    <row r="11" spans="1:16" x14ac:dyDescent="0.35">
      <c r="A11" s="5" t="s">
        <v>100</v>
      </c>
      <c r="B11" s="6" t="s">
        <v>101</v>
      </c>
      <c r="C11" s="31">
        <v>695.6</v>
      </c>
      <c r="D11" s="31">
        <v>693.3</v>
      </c>
      <c r="E11" s="31">
        <v>701.4</v>
      </c>
      <c r="F11" s="31">
        <v>696</v>
      </c>
      <c r="G11" s="31">
        <v>695.8</v>
      </c>
      <c r="H11" s="31">
        <v>700.1</v>
      </c>
      <c r="I11" s="31"/>
      <c r="J11" s="31"/>
      <c r="K11" s="31"/>
      <c r="L11" s="31"/>
      <c r="M11" s="31"/>
      <c r="N11" s="31"/>
      <c r="O11" s="9">
        <f>IF(O10=0,0,O13*100000/O10)</f>
        <v>697.066770690829</v>
      </c>
    </row>
    <row r="12" spans="1:16" x14ac:dyDescent="0.35">
      <c r="A12" s="7" t="s">
        <v>102</v>
      </c>
      <c r="B12" s="8"/>
      <c r="C12" s="8"/>
      <c r="D12" s="8"/>
      <c r="E12" s="8"/>
      <c r="F12" s="8"/>
      <c r="G12" s="8"/>
      <c r="H12" s="8"/>
      <c r="I12" s="8"/>
      <c r="J12" s="8"/>
      <c r="K12" s="8"/>
      <c r="L12" s="8"/>
      <c r="M12" s="8"/>
      <c r="N12" s="8"/>
      <c r="O12" s="8"/>
      <c r="P12" s="8"/>
    </row>
    <row r="13" spans="1:16" x14ac:dyDescent="0.35">
      <c r="A13" s="32" t="s">
        <v>103</v>
      </c>
      <c r="B13" s="33" t="s">
        <v>104</v>
      </c>
      <c r="C13" s="34">
        <f t="shared" ref="C13:N13" si="1">C10*C11/100000</f>
        <v>3565.6803799999998</v>
      </c>
      <c r="D13" s="34">
        <f t="shared" si="1"/>
        <v>3500.4439679999996</v>
      </c>
      <c r="E13" s="34">
        <f t="shared" si="1"/>
        <v>3522.2344080000003</v>
      </c>
      <c r="F13" s="34">
        <f t="shared" si="1"/>
        <v>3414.9587999999999</v>
      </c>
      <c r="G13" s="34">
        <f t="shared" si="1"/>
        <v>3595.9083159999996</v>
      </c>
      <c r="H13" s="34">
        <f t="shared" si="1"/>
        <v>3821.6638740000003</v>
      </c>
      <c r="I13" s="34">
        <f t="shared" si="1"/>
        <v>0</v>
      </c>
      <c r="J13" s="34">
        <f t="shared" si="1"/>
        <v>0</v>
      </c>
      <c r="K13" s="34">
        <f t="shared" si="1"/>
        <v>0</v>
      </c>
      <c r="L13" s="34">
        <f t="shared" si="1"/>
        <v>0</v>
      </c>
      <c r="M13" s="34">
        <f t="shared" si="1"/>
        <v>0</v>
      </c>
      <c r="N13" s="34">
        <f t="shared" si="1"/>
        <v>0</v>
      </c>
      <c r="O13" s="34">
        <f>SUMIFS($C13:$N13,$C$5:$N$5,"&lt;="&amp;$C$3)</f>
        <v>21420.889746000001</v>
      </c>
      <c r="P13" s="56"/>
    </row>
    <row r="14" spans="1:16" x14ac:dyDescent="0.35">
      <c r="A14" s="5" t="s">
        <v>105</v>
      </c>
      <c r="B14" s="6" t="s">
        <v>104</v>
      </c>
      <c r="C14" s="36">
        <v>1108.3</v>
      </c>
      <c r="D14" s="36">
        <v>1104.5</v>
      </c>
      <c r="E14" s="36">
        <v>1098.0999999999999</v>
      </c>
      <c r="F14" s="36">
        <v>997.8</v>
      </c>
      <c r="G14" s="36">
        <v>1036.4000000000001</v>
      </c>
      <c r="H14" s="36">
        <v>1119.8</v>
      </c>
      <c r="I14" s="36"/>
      <c r="J14" s="36"/>
      <c r="K14" s="36"/>
      <c r="L14" s="36"/>
      <c r="M14" s="36"/>
      <c r="N14" s="36"/>
      <c r="O14" s="19">
        <f>SUMIFS($C14:$N14,$C$5:$N$5,"&lt;="&amp;$C$3)</f>
        <v>6464.9000000000005</v>
      </c>
    </row>
    <row r="15" spans="1:16" x14ac:dyDescent="0.35">
      <c r="A15" s="32" t="s">
        <v>106</v>
      </c>
      <c r="B15" s="33" t="s">
        <v>104</v>
      </c>
      <c r="C15" s="34">
        <f t="shared" ref="C15:O15" si="2">C13-C14</f>
        <v>2457.3803799999996</v>
      </c>
      <c r="D15" s="34">
        <f t="shared" si="2"/>
        <v>2395.9439679999996</v>
      </c>
      <c r="E15" s="34">
        <f t="shared" si="2"/>
        <v>2424.1344080000003</v>
      </c>
      <c r="F15" s="34">
        <f t="shared" si="2"/>
        <v>2417.1588000000002</v>
      </c>
      <c r="G15" s="34">
        <f t="shared" si="2"/>
        <v>2559.5083159999995</v>
      </c>
      <c r="H15" s="34">
        <f t="shared" si="2"/>
        <v>2701.8638740000006</v>
      </c>
      <c r="I15" s="34">
        <f t="shared" si="2"/>
        <v>0</v>
      </c>
      <c r="J15" s="34">
        <f t="shared" si="2"/>
        <v>0</v>
      </c>
      <c r="K15" s="34">
        <f t="shared" si="2"/>
        <v>0</v>
      </c>
      <c r="L15" s="34">
        <f t="shared" si="2"/>
        <v>0</v>
      </c>
      <c r="M15" s="34">
        <f t="shared" si="2"/>
        <v>0</v>
      </c>
      <c r="N15" s="34">
        <f t="shared" si="2"/>
        <v>0</v>
      </c>
      <c r="O15" s="34">
        <f t="shared" si="2"/>
        <v>14955.989745999999</v>
      </c>
      <c r="P15" s="56"/>
    </row>
    <row r="16" spans="1:16" x14ac:dyDescent="0.35">
      <c r="A16" s="5" t="s">
        <v>107</v>
      </c>
      <c r="B16" s="6" t="s">
        <v>108</v>
      </c>
      <c r="C16" s="37">
        <f t="shared" ref="C16:O16" si="3">IF(C13=0,0,C15/C13)</f>
        <v>0.68917573032723689</v>
      </c>
      <c r="D16" s="37">
        <f t="shared" si="3"/>
        <v>0.68446859595611154</v>
      </c>
      <c r="E16" s="37">
        <f t="shared" si="3"/>
        <v>0.68823767165924532</v>
      </c>
      <c r="F16" s="37">
        <f t="shared" si="3"/>
        <v>0.70781492297945159</v>
      </c>
      <c r="G16" s="37">
        <f t="shared" si="3"/>
        <v>0.71178353035628394</v>
      </c>
      <c r="H16" s="37">
        <f t="shared" si="3"/>
        <v>0.70698626647456975</v>
      </c>
      <c r="I16" s="37">
        <f t="shared" si="3"/>
        <v>0</v>
      </c>
      <c r="J16" s="37">
        <f t="shared" si="3"/>
        <v>0</v>
      </c>
      <c r="K16" s="37">
        <f t="shared" si="3"/>
        <v>0</v>
      </c>
      <c r="L16" s="37">
        <f t="shared" si="3"/>
        <v>0</v>
      </c>
      <c r="M16" s="37">
        <f t="shared" si="3"/>
        <v>0</v>
      </c>
      <c r="N16" s="37">
        <f t="shared" si="3"/>
        <v>0</v>
      </c>
      <c r="O16" s="37">
        <f t="shared" si="3"/>
        <v>0.69819647658626249</v>
      </c>
    </row>
    <row r="17" spans="1:16" x14ac:dyDescent="0.35">
      <c r="A17" s="7" t="s">
        <v>109</v>
      </c>
      <c r="B17" s="8"/>
      <c r="C17" s="8"/>
      <c r="D17" s="8"/>
      <c r="E17" s="8"/>
      <c r="F17" s="8"/>
      <c r="G17" s="8"/>
      <c r="H17" s="8"/>
      <c r="I17" s="8"/>
      <c r="J17" s="8"/>
      <c r="K17" s="8"/>
      <c r="L17" s="8"/>
      <c r="M17" s="8"/>
      <c r="N17" s="8"/>
      <c r="O17" s="8"/>
      <c r="P17" s="8"/>
    </row>
    <row r="18" spans="1:16" x14ac:dyDescent="0.35">
      <c r="A18" s="5" t="s">
        <v>110</v>
      </c>
      <c r="B18" s="6" t="s">
        <v>104</v>
      </c>
      <c r="C18" s="36">
        <v>76.7</v>
      </c>
      <c r="D18" s="36">
        <v>77</v>
      </c>
      <c r="E18" s="36">
        <v>77.099999999999994</v>
      </c>
      <c r="F18" s="36">
        <v>77.5</v>
      </c>
      <c r="G18" s="36">
        <v>77.5</v>
      </c>
      <c r="H18" s="36">
        <v>80</v>
      </c>
      <c r="I18" s="36"/>
      <c r="J18" s="36"/>
      <c r="K18" s="36"/>
      <c r="L18" s="36"/>
      <c r="M18" s="36"/>
      <c r="N18" s="36"/>
      <c r="O18" s="19">
        <f>SUMIFS($C18:$N18,$C$5:$N$5,"&lt;="&amp;$C$3)</f>
        <v>465.79999999999995</v>
      </c>
    </row>
    <row r="19" spans="1:16" x14ac:dyDescent="0.35">
      <c r="A19" s="5" t="s">
        <v>111</v>
      </c>
      <c r="B19" s="6" t="s">
        <v>104</v>
      </c>
      <c r="C19" s="36">
        <v>105.7</v>
      </c>
      <c r="D19" s="36">
        <v>101.5</v>
      </c>
      <c r="E19" s="36">
        <v>106</v>
      </c>
      <c r="F19" s="36">
        <v>120</v>
      </c>
      <c r="G19" s="36">
        <v>121.3</v>
      </c>
      <c r="H19" s="36">
        <v>129.9</v>
      </c>
      <c r="I19" s="36"/>
      <c r="J19" s="36"/>
      <c r="K19" s="36"/>
      <c r="L19" s="36"/>
      <c r="M19" s="36"/>
      <c r="N19" s="36"/>
      <c r="O19" s="19">
        <f>SUMIFS($C19:$N19,$C$5:$N$5,"&lt;="&amp;$C$3)</f>
        <v>684.4</v>
      </c>
    </row>
    <row r="20" spans="1:16" x14ac:dyDescent="0.35">
      <c r="A20" s="32" t="s">
        <v>112</v>
      </c>
      <c r="B20" s="33" t="s">
        <v>104</v>
      </c>
      <c r="C20" s="34">
        <f t="shared" ref="C20:O20" si="4">C18+C19</f>
        <v>182.4</v>
      </c>
      <c r="D20" s="34">
        <f t="shared" si="4"/>
        <v>178.5</v>
      </c>
      <c r="E20" s="34">
        <f t="shared" si="4"/>
        <v>183.1</v>
      </c>
      <c r="F20" s="34">
        <f t="shared" si="4"/>
        <v>197.5</v>
      </c>
      <c r="G20" s="34">
        <f t="shared" si="4"/>
        <v>198.8</v>
      </c>
      <c r="H20" s="34">
        <f t="shared" si="4"/>
        <v>209.9</v>
      </c>
      <c r="I20" s="34">
        <f t="shared" si="4"/>
        <v>0</v>
      </c>
      <c r="J20" s="34">
        <f t="shared" si="4"/>
        <v>0</v>
      </c>
      <c r="K20" s="34">
        <f t="shared" si="4"/>
        <v>0</v>
      </c>
      <c r="L20" s="34">
        <f t="shared" si="4"/>
        <v>0</v>
      </c>
      <c r="M20" s="34">
        <f t="shared" si="4"/>
        <v>0</v>
      </c>
      <c r="N20" s="34">
        <f t="shared" si="4"/>
        <v>0</v>
      </c>
      <c r="O20" s="34">
        <f t="shared" si="4"/>
        <v>1150.1999999999998</v>
      </c>
      <c r="P20" s="56"/>
    </row>
    <row r="21" spans="1:16" x14ac:dyDescent="0.35">
      <c r="A21" s="5" t="s">
        <v>113</v>
      </c>
      <c r="B21" s="6" t="s">
        <v>104</v>
      </c>
      <c r="C21" s="36">
        <v>100.1</v>
      </c>
      <c r="D21" s="36">
        <v>101.2</v>
      </c>
      <c r="E21" s="36">
        <v>101</v>
      </c>
      <c r="F21" s="36">
        <v>100.4</v>
      </c>
      <c r="G21" s="36">
        <v>100.6</v>
      </c>
      <c r="H21" s="36">
        <v>101.4</v>
      </c>
      <c r="I21" s="36"/>
      <c r="J21" s="36"/>
      <c r="K21" s="36"/>
      <c r="L21" s="36"/>
      <c r="M21" s="36"/>
      <c r="N21" s="36"/>
      <c r="O21" s="19">
        <f>SUMIFS($C21:$N21,$C$5:$N$5,"&lt;="&amp;$C$3)</f>
        <v>604.70000000000005</v>
      </c>
    </row>
    <row r="22" spans="1:16" x14ac:dyDescent="0.35">
      <c r="A22" s="5" t="s">
        <v>114</v>
      </c>
      <c r="B22" s="6" t="s">
        <v>104</v>
      </c>
      <c r="C22" s="36">
        <v>270.39999999999998</v>
      </c>
      <c r="D22" s="36">
        <v>266.5</v>
      </c>
      <c r="E22" s="36">
        <v>282.5</v>
      </c>
      <c r="F22" s="36">
        <v>279.7</v>
      </c>
      <c r="G22" s="36">
        <v>293.39999999999998</v>
      </c>
      <c r="H22" s="36">
        <v>306.89999999999998</v>
      </c>
      <c r="I22" s="36"/>
      <c r="J22" s="36"/>
      <c r="K22" s="36"/>
      <c r="L22" s="36"/>
      <c r="M22" s="36"/>
      <c r="N22" s="36"/>
      <c r="O22" s="19">
        <f>SUMIFS($C22:$N22,$C$5:$N$5,"&lt;="&amp;$C$3)</f>
        <v>1699.4</v>
      </c>
    </row>
    <row r="23" spans="1:16" x14ac:dyDescent="0.35">
      <c r="A23" s="5" t="s">
        <v>115</v>
      </c>
      <c r="B23" s="6" t="s">
        <v>104</v>
      </c>
      <c r="C23" s="36">
        <v>35.700000000000003</v>
      </c>
      <c r="D23" s="36">
        <v>34.1</v>
      </c>
      <c r="E23" s="36">
        <v>34.4</v>
      </c>
      <c r="F23" s="36">
        <v>103.8</v>
      </c>
      <c r="G23" s="36">
        <v>35.9</v>
      </c>
      <c r="H23" s="36">
        <v>34.700000000000003</v>
      </c>
      <c r="I23" s="36"/>
      <c r="J23" s="36"/>
      <c r="K23" s="36"/>
      <c r="L23" s="36"/>
      <c r="M23" s="36"/>
      <c r="N23" s="36"/>
      <c r="O23" s="19">
        <f>SUMIFS($C23:$N23,$C$5:$N$5,"&lt;="&amp;$C$3)</f>
        <v>278.60000000000002</v>
      </c>
    </row>
    <row r="24" spans="1:16" x14ac:dyDescent="0.35">
      <c r="A24" s="32" t="s">
        <v>116</v>
      </c>
      <c r="B24" s="33" t="s">
        <v>104</v>
      </c>
      <c r="C24" s="34">
        <f t="shared" ref="C24:O24" si="5">C21+C22+C23</f>
        <v>406.2</v>
      </c>
      <c r="D24" s="34">
        <f t="shared" si="5"/>
        <v>401.8</v>
      </c>
      <c r="E24" s="34">
        <f t="shared" si="5"/>
        <v>417.9</v>
      </c>
      <c r="F24" s="34">
        <f t="shared" si="5"/>
        <v>483.90000000000003</v>
      </c>
      <c r="G24" s="34">
        <f t="shared" si="5"/>
        <v>429.9</v>
      </c>
      <c r="H24" s="34">
        <f t="shared" si="5"/>
        <v>442.99999999999994</v>
      </c>
      <c r="I24" s="34">
        <f t="shared" si="5"/>
        <v>0</v>
      </c>
      <c r="J24" s="34">
        <f t="shared" si="5"/>
        <v>0</v>
      </c>
      <c r="K24" s="34">
        <f t="shared" si="5"/>
        <v>0</v>
      </c>
      <c r="L24" s="34">
        <f t="shared" si="5"/>
        <v>0</v>
      </c>
      <c r="M24" s="34">
        <f t="shared" si="5"/>
        <v>0</v>
      </c>
      <c r="N24" s="34">
        <f t="shared" si="5"/>
        <v>0</v>
      </c>
      <c r="O24" s="34">
        <f t="shared" si="5"/>
        <v>2582.7000000000003</v>
      </c>
      <c r="P24" s="56"/>
    </row>
    <row r="25" spans="1:16" x14ac:dyDescent="0.35">
      <c r="A25" s="5" t="s">
        <v>117</v>
      </c>
      <c r="B25" s="6" t="s">
        <v>104</v>
      </c>
      <c r="C25" s="36">
        <v>90.7</v>
      </c>
      <c r="D25" s="36">
        <v>89.2</v>
      </c>
      <c r="E25" s="36">
        <v>92</v>
      </c>
      <c r="F25" s="36">
        <v>93.9</v>
      </c>
      <c r="G25" s="36">
        <v>93.5</v>
      </c>
      <c r="H25" s="36">
        <v>92.6</v>
      </c>
      <c r="I25" s="36"/>
      <c r="J25" s="36"/>
      <c r="K25" s="36"/>
      <c r="L25" s="36"/>
      <c r="M25" s="36"/>
      <c r="N25" s="36"/>
      <c r="O25" s="19">
        <f>SUMIFS($C25:$N25,$C$5:$N$5,"&lt;="&amp;$C$3)</f>
        <v>551.9</v>
      </c>
    </row>
    <row r="26" spans="1:16" x14ac:dyDescent="0.35">
      <c r="A26" s="5" t="s">
        <v>118</v>
      </c>
      <c r="B26" s="6" t="s">
        <v>104</v>
      </c>
      <c r="C26" s="36">
        <v>757.8</v>
      </c>
      <c r="D26" s="36">
        <v>745.1</v>
      </c>
      <c r="E26" s="36">
        <v>735.5</v>
      </c>
      <c r="F26" s="36">
        <v>718</v>
      </c>
      <c r="G26" s="36">
        <v>830.3</v>
      </c>
      <c r="H26" s="36">
        <v>948.7</v>
      </c>
      <c r="I26" s="36"/>
      <c r="J26" s="36"/>
      <c r="K26" s="36"/>
      <c r="L26" s="36"/>
      <c r="M26" s="36"/>
      <c r="N26" s="36"/>
      <c r="O26" s="19">
        <f>SUMIFS($C26:$N26,$C$5:$N$5,"&lt;="&amp;$C$3)</f>
        <v>4735.3999999999996</v>
      </c>
    </row>
    <row r="27" spans="1:16" x14ac:dyDescent="0.35">
      <c r="A27" s="5" t="s">
        <v>119</v>
      </c>
      <c r="B27" s="6" t="s">
        <v>104</v>
      </c>
      <c r="C27" s="36">
        <v>360.1</v>
      </c>
      <c r="D27" s="36">
        <v>349.7</v>
      </c>
      <c r="E27" s="36">
        <v>401.3</v>
      </c>
      <c r="F27" s="36">
        <v>378</v>
      </c>
      <c r="G27" s="36">
        <v>405.6</v>
      </c>
      <c r="H27" s="36">
        <v>425.4</v>
      </c>
      <c r="I27" s="36"/>
      <c r="J27" s="36"/>
      <c r="K27" s="36"/>
      <c r="L27" s="36"/>
      <c r="M27" s="36"/>
      <c r="N27" s="36"/>
      <c r="O27" s="19">
        <f>SUMIFS($C27:$N27,$C$5:$N$5,"&lt;="&amp;$C$3)</f>
        <v>2320.1</v>
      </c>
    </row>
    <row r="28" spans="1:16" x14ac:dyDescent="0.35">
      <c r="A28" s="32" t="s">
        <v>120</v>
      </c>
      <c r="B28" s="33" t="s">
        <v>104</v>
      </c>
      <c r="C28" s="34">
        <f t="shared" ref="C28:O28" si="6">C25+C26+C27</f>
        <v>1208.5999999999999</v>
      </c>
      <c r="D28" s="34">
        <f t="shared" si="6"/>
        <v>1184</v>
      </c>
      <c r="E28" s="34">
        <f t="shared" si="6"/>
        <v>1228.8</v>
      </c>
      <c r="F28" s="34">
        <f t="shared" si="6"/>
        <v>1189.9000000000001</v>
      </c>
      <c r="G28" s="34">
        <f t="shared" si="6"/>
        <v>1329.4</v>
      </c>
      <c r="H28" s="34">
        <f t="shared" si="6"/>
        <v>1466.6999999999998</v>
      </c>
      <c r="I28" s="34">
        <f t="shared" si="6"/>
        <v>0</v>
      </c>
      <c r="J28" s="34">
        <f t="shared" si="6"/>
        <v>0</v>
      </c>
      <c r="K28" s="34">
        <f t="shared" si="6"/>
        <v>0</v>
      </c>
      <c r="L28" s="34">
        <f t="shared" si="6"/>
        <v>0</v>
      </c>
      <c r="M28" s="34">
        <f t="shared" si="6"/>
        <v>0</v>
      </c>
      <c r="N28" s="34">
        <f t="shared" si="6"/>
        <v>0</v>
      </c>
      <c r="O28" s="34">
        <f t="shared" si="6"/>
        <v>7607.4</v>
      </c>
      <c r="P28" s="56"/>
    </row>
    <row r="29" spans="1:16" x14ac:dyDescent="0.35">
      <c r="A29" s="5" t="s">
        <v>121</v>
      </c>
      <c r="B29" s="6" t="s">
        <v>104</v>
      </c>
      <c r="C29" s="36">
        <v>14</v>
      </c>
      <c r="D29" s="36">
        <v>13.9</v>
      </c>
      <c r="E29" s="36">
        <v>13.9</v>
      </c>
      <c r="F29" s="36">
        <v>13.9</v>
      </c>
      <c r="G29" s="36">
        <v>13.9</v>
      </c>
      <c r="H29" s="36">
        <v>14.9</v>
      </c>
      <c r="I29" s="36"/>
      <c r="J29" s="36"/>
      <c r="K29" s="36"/>
      <c r="L29" s="36"/>
      <c r="M29" s="36"/>
      <c r="N29" s="36"/>
      <c r="O29" s="19">
        <f>SUMIFS($C29:$N29,$C$5:$N$5,"&lt;="&amp;$C$3)</f>
        <v>84.5</v>
      </c>
    </row>
    <row r="30" spans="1:16" x14ac:dyDescent="0.35">
      <c r="A30" s="5" t="s">
        <v>122</v>
      </c>
      <c r="B30" s="6" t="s">
        <v>104</v>
      </c>
      <c r="C30" s="36">
        <v>10.199999999999999</v>
      </c>
      <c r="D30" s="36">
        <v>9.1999999999999993</v>
      </c>
      <c r="E30" s="36">
        <v>9.6999999999999993</v>
      </c>
      <c r="F30" s="36">
        <v>10.7</v>
      </c>
      <c r="G30" s="36">
        <v>10</v>
      </c>
      <c r="H30" s="36">
        <v>10.199999999999999</v>
      </c>
      <c r="I30" s="36"/>
      <c r="J30" s="36"/>
      <c r="K30" s="36"/>
      <c r="L30" s="36"/>
      <c r="M30" s="36"/>
      <c r="N30" s="36"/>
      <c r="O30" s="19">
        <f>SUMIFS($C30:$N30,$C$5:$N$5,"&lt;="&amp;$C$3)</f>
        <v>60</v>
      </c>
    </row>
    <row r="31" spans="1:16" x14ac:dyDescent="0.35">
      <c r="A31" s="32" t="s">
        <v>123</v>
      </c>
      <c r="B31" s="33" t="s">
        <v>104</v>
      </c>
      <c r="C31" s="34">
        <f t="shared" ref="C31:O31" si="7">C29+C30</f>
        <v>24.2</v>
      </c>
      <c r="D31" s="34">
        <f t="shared" si="7"/>
        <v>23.1</v>
      </c>
      <c r="E31" s="34">
        <f t="shared" si="7"/>
        <v>23.6</v>
      </c>
      <c r="F31" s="34">
        <f t="shared" si="7"/>
        <v>24.6</v>
      </c>
      <c r="G31" s="34">
        <f t="shared" si="7"/>
        <v>23.9</v>
      </c>
      <c r="H31" s="34">
        <f t="shared" si="7"/>
        <v>25.1</v>
      </c>
      <c r="I31" s="34">
        <f t="shared" si="7"/>
        <v>0</v>
      </c>
      <c r="J31" s="34">
        <f t="shared" si="7"/>
        <v>0</v>
      </c>
      <c r="K31" s="34">
        <f t="shared" si="7"/>
        <v>0</v>
      </c>
      <c r="L31" s="34">
        <f t="shared" si="7"/>
        <v>0</v>
      </c>
      <c r="M31" s="34">
        <f t="shared" si="7"/>
        <v>0</v>
      </c>
      <c r="N31" s="34">
        <f t="shared" si="7"/>
        <v>0</v>
      </c>
      <c r="O31" s="34">
        <f t="shared" si="7"/>
        <v>144.5</v>
      </c>
      <c r="P31" s="56"/>
    </row>
    <row r="32" spans="1:16" x14ac:dyDescent="0.35">
      <c r="A32" s="5" t="s">
        <v>124</v>
      </c>
      <c r="B32" s="6" t="s">
        <v>104</v>
      </c>
      <c r="C32" s="36">
        <v>94</v>
      </c>
      <c r="D32" s="36">
        <v>94.3</v>
      </c>
      <c r="E32" s="36">
        <v>95.7</v>
      </c>
      <c r="F32" s="36">
        <v>98.9</v>
      </c>
      <c r="G32" s="36">
        <v>97.5</v>
      </c>
      <c r="H32" s="36">
        <v>99.5</v>
      </c>
      <c r="I32" s="36"/>
      <c r="J32" s="36"/>
      <c r="K32" s="36"/>
      <c r="L32" s="36"/>
      <c r="M32" s="36"/>
      <c r="N32" s="36"/>
      <c r="O32" s="19">
        <f>SUMIFS($C32:$N32,$C$5:$N$5,"&lt;="&amp;$C$3)</f>
        <v>579.9</v>
      </c>
    </row>
    <row r="33" spans="1:16" x14ac:dyDescent="0.35">
      <c r="A33" s="5" t="s">
        <v>125</v>
      </c>
      <c r="B33" s="6" t="s">
        <v>104</v>
      </c>
      <c r="C33" s="36">
        <v>52.2</v>
      </c>
      <c r="D33" s="36">
        <v>50.7</v>
      </c>
      <c r="E33" s="36">
        <v>138.4</v>
      </c>
      <c r="F33" s="36">
        <v>50.1</v>
      </c>
      <c r="G33" s="36">
        <v>52.2</v>
      </c>
      <c r="H33" s="36">
        <v>50.9</v>
      </c>
      <c r="I33" s="36"/>
      <c r="J33" s="36"/>
      <c r="K33" s="36"/>
      <c r="L33" s="36"/>
      <c r="M33" s="36"/>
      <c r="N33" s="36"/>
      <c r="O33" s="19">
        <f>SUMIFS($C33:$N33,$C$5:$N$5,"&lt;="&amp;$C$3)</f>
        <v>394.5</v>
      </c>
    </row>
    <row r="34" spans="1:16" x14ac:dyDescent="0.35">
      <c r="A34" s="32" t="s">
        <v>126</v>
      </c>
      <c r="B34" s="33" t="s">
        <v>104</v>
      </c>
      <c r="C34" s="34">
        <f t="shared" ref="C34:O34" si="8">C32+C33</f>
        <v>146.19999999999999</v>
      </c>
      <c r="D34" s="34">
        <f t="shared" si="8"/>
        <v>145</v>
      </c>
      <c r="E34" s="34">
        <f t="shared" si="8"/>
        <v>234.10000000000002</v>
      </c>
      <c r="F34" s="34">
        <f t="shared" si="8"/>
        <v>149</v>
      </c>
      <c r="G34" s="34">
        <f t="shared" si="8"/>
        <v>149.69999999999999</v>
      </c>
      <c r="H34" s="34">
        <f t="shared" si="8"/>
        <v>150.4</v>
      </c>
      <c r="I34" s="34">
        <f t="shared" si="8"/>
        <v>0</v>
      </c>
      <c r="J34" s="34">
        <f t="shared" si="8"/>
        <v>0</v>
      </c>
      <c r="K34" s="34">
        <f t="shared" si="8"/>
        <v>0</v>
      </c>
      <c r="L34" s="34">
        <f t="shared" si="8"/>
        <v>0</v>
      </c>
      <c r="M34" s="34">
        <f t="shared" si="8"/>
        <v>0</v>
      </c>
      <c r="N34" s="34">
        <f t="shared" si="8"/>
        <v>0</v>
      </c>
      <c r="O34" s="34">
        <f t="shared" si="8"/>
        <v>974.4</v>
      </c>
      <c r="P34" s="56"/>
    </row>
    <row r="35" spans="1:16" x14ac:dyDescent="0.35">
      <c r="A35" s="5" t="s">
        <v>127</v>
      </c>
      <c r="B35" s="6" t="s">
        <v>104</v>
      </c>
      <c r="C35" s="36">
        <v>39.5</v>
      </c>
      <c r="D35" s="36">
        <v>39.1</v>
      </c>
      <c r="E35" s="36">
        <v>39</v>
      </c>
      <c r="F35" s="36">
        <v>39.1</v>
      </c>
      <c r="G35" s="36">
        <v>39.200000000000003</v>
      </c>
      <c r="H35" s="36">
        <v>39.200000000000003</v>
      </c>
      <c r="I35" s="36"/>
      <c r="J35" s="36"/>
      <c r="K35" s="36"/>
      <c r="L35" s="36"/>
      <c r="M35" s="36"/>
      <c r="N35" s="36"/>
      <c r="O35" s="19">
        <f>SUMIFS($C35:$N35,$C$5:$N$5,"&lt;="&amp;$C$3)</f>
        <v>235.09999999999997</v>
      </c>
    </row>
    <row r="36" spans="1:16" x14ac:dyDescent="0.35">
      <c r="A36" s="5" t="s">
        <v>128</v>
      </c>
      <c r="B36" s="6" t="s">
        <v>104</v>
      </c>
      <c r="C36" s="36">
        <v>59.6</v>
      </c>
      <c r="D36" s="36">
        <v>64</v>
      </c>
      <c r="E36" s="36">
        <v>62.2</v>
      </c>
      <c r="F36" s="36">
        <v>63.3</v>
      </c>
      <c r="G36" s="36">
        <v>64.2</v>
      </c>
      <c r="H36" s="36">
        <v>62.5</v>
      </c>
      <c r="I36" s="36"/>
      <c r="J36" s="36"/>
      <c r="K36" s="36"/>
      <c r="L36" s="36"/>
      <c r="M36" s="36"/>
      <c r="N36" s="36"/>
      <c r="O36" s="19">
        <f>SUMIFS($C36:$N36,$C$5:$N$5,"&lt;="&amp;$C$3)</f>
        <v>375.8</v>
      </c>
    </row>
    <row r="37" spans="1:16" x14ac:dyDescent="0.35">
      <c r="A37" s="32" t="s">
        <v>129</v>
      </c>
      <c r="B37" s="33" t="s">
        <v>104</v>
      </c>
      <c r="C37" s="34">
        <f t="shared" ref="C37:O37" si="9">C35+C36</f>
        <v>99.1</v>
      </c>
      <c r="D37" s="34">
        <f t="shared" si="9"/>
        <v>103.1</v>
      </c>
      <c r="E37" s="34">
        <f t="shared" si="9"/>
        <v>101.2</v>
      </c>
      <c r="F37" s="34">
        <f t="shared" si="9"/>
        <v>102.4</v>
      </c>
      <c r="G37" s="34">
        <f t="shared" si="9"/>
        <v>103.4</v>
      </c>
      <c r="H37" s="34">
        <f t="shared" si="9"/>
        <v>101.7</v>
      </c>
      <c r="I37" s="34">
        <f t="shared" si="9"/>
        <v>0</v>
      </c>
      <c r="J37" s="34">
        <f t="shared" si="9"/>
        <v>0</v>
      </c>
      <c r="K37" s="34">
        <f t="shared" si="9"/>
        <v>0</v>
      </c>
      <c r="L37" s="34">
        <f t="shared" si="9"/>
        <v>0</v>
      </c>
      <c r="M37" s="34">
        <f t="shared" si="9"/>
        <v>0</v>
      </c>
      <c r="N37" s="34">
        <f t="shared" si="9"/>
        <v>0</v>
      </c>
      <c r="O37" s="34">
        <f t="shared" si="9"/>
        <v>610.9</v>
      </c>
      <c r="P37" s="56"/>
    </row>
    <row r="38" spans="1:16" x14ac:dyDescent="0.35">
      <c r="A38" s="7" t="s">
        <v>130</v>
      </c>
      <c r="B38" s="8"/>
      <c r="C38" s="8"/>
      <c r="D38" s="8"/>
      <c r="E38" s="8"/>
      <c r="F38" s="8"/>
      <c r="G38" s="8"/>
      <c r="H38" s="8"/>
      <c r="I38" s="8"/>
      <c r="J38" s="8"/>
      <c r="K38" s="8"/>
      <c r="L38" s="8"/>
      <c r="M38" s="8"/>
      <c r="N38" s="8"/>
      <c r="O38" s="8"/>
      <c r="P38" s="8"/>
    </row>
    <row r="39" spans="1:16" x14ac:dyDescent="0.35">
      <c r="A39" s="32" t="s">
        <v>131</v>
      </c>
      <c r="B39" s="33" t="s">
        <v>104</v>
      </c>
      <c r="C39" s="34">
        <f t="shared" ref="C39:O39" si="10">C20+C24+C28+C31+C34+C37</f>
        <v>2066.6999999999998</v>
      </c>
      <c r="D39" s="34">
        <f t="shared" si="10"/>
        <v>2035.4999999999998</v>
      </c>
      <c r="E39" s="34">
        <f t="shared" si="10"/>
        <v>2188.6999999999998</v>
      </c>
      <c r="F39" s="34">
        <f t="shared" si="10"/>
        <v>2147.3000000000002</v>
      </c>
      <c r="G39" s="34">
        <f t="shared" si="10"/>
        <v>2235.1000000000004</v>
      </c>
      <c r="H39" s="34">
        <f t="shared" si="10"/>
        <v>2396.7999999999997</v>
      </c>
      <c r="I39" s="34">
        <f t="shared" si="10"/>
        <v>0</v>
      </c>
      <c r="J39" s="34">
        <f t="shared" si="10"/>
        <v>0</v>
      </c>
      <c r="K39" s="34">
        <f t="shared" si="10"/>
        <v>0</v>
      </c>
      <c r="L39" s="34">
        <f t="shared" si="10"/>
        <v>0</v>
      </c>
      <c r="M39" s="34">
        <f t="shared" si="10"/>
        <v>0</v>
      </c>
      <c r="N39" s="34">
        <f t="shared" si="10"/>
        <v>0</v>
      </c>
      <c r="O39" s="34">
        <f t="shared" si="10"/>
        <v>13070.099999999999</v>
      </c>
      <c r="P39" s="56"/>
    </row>
    <row r="40" spans="1:16" x14ac:dyDescent="0.35">
      <c r="A40" s="32" t="s">
        <v>132</v>
      </c>
      <c r="B40" s="33" t="s">
        <v>104</v>
      </c>
      <c r="C40" s="34">
        <f t="shared" ref="C40:O40" si="11">C15-C39</f>
        <v>390.68037999999979</v>
      </c>
      <c r="D40" s="34">
        <f t="shared" si="11"/>
        <v>360.44396799999981</v>
      </c>
      <c r="E40" s="34">
        <f t="shared" si="11"/>
        <v>235.43440800000053</v>
      </c>
      <c r="F40" s="34">
        <f t="shared" si="11"/>
        <v>269.85879999999997</v>
      </c>
      <c r="G40" s="34">
        <f t="shared" si="11"/>
        <v>324.4083159999991</v>
      </c>
      <c r="H40" s="34">
        <f t="shared" si="11"/>
        <v>305.06387400000085</v>
      </c>
      <c r="I40" s="34">
        <f t="shared" si="11"/>
        <v>0</v>
      </c>
      <c r="J40" s="34">
        <f t="shared" si="11"/>
        <v>0</v>
      </c>
      <c r="K40" s="34">
        <f t="shared" si="11"/>
        <v>0</v>
      </c>
      <c r="L40" s="34">
        <f t="shared" si="11"/>
        <v>0</v>
      </c>
      <c r="M40" s="34">
        <f t="shared" si="11"/>
        <v>0</v>
      </c>
      <c r="N40" s="34">
        <f t="shared" si="11"/>
        <v>0</v>
      </c>
      <c r="O40" s="34">
        <f t="shared" si="11"/>
        <v>1885.8897460000007</v>
      </c>
      <c r="P40" s="56"/>
    </row>
    <row r="41" spans="1:16" x14ac:dyDescent="0.35">
      <c r="A41" s="5" t="s">
        <v>133</v>
      </c>
      <c r="B41" s="6" t="s">
        <v>108</v>
      </c>
      <c r="C41" s="37">
        <f t="shared" ref="C41:O41" si="12">IF(C13=0,0,C40/C13)</f>
        <v>0.1095668535495601</v>
      </c>
      <c r="D41" s="37">
        <f t="shared" si="12"/>
        <v>0.10297092920071556</v>
      </c>
      <c r="E41" s="37">
        <f t="shared" si="12"/>
        <v>6.6842345150357321E-2</v>
      </c>
      <c r="F41" s="37">
        <f t="shared" si="12"/>
        <v>7.9022563903259971E-2</v>
      </c>
      <c r="G41" s="37">
        <f t="shared" si="12"/>
        <v>9.0215958665170584E-2</v>
      </c>
      <c r="H41" s="37">
        <f t="shared" si="12"/>
        <v>7.9824883626068682E-2</v>
      </c>
      <c r="I41" s="37">
        <f t="shared" si="12"/>
        <v>0</v>
      </c>
      <c r="J41" s="37">
        <f t="shared" si="12"/>
        <v>0</v>
      </c>
      <c r="K41" s="37">
        <f t="shared" si="12"/>
        <v>0</v>
      </c>
      <c r="L41" s="37">
        <f t="shared" si="12"/>
        <v>0</v>
      </c>
      <c r="M41" s="37">
        <f t="shared" si="12"/>
        <v>0</v>
      </c>
      <c r="N41" s="37">
        <f t="shared" si="12"/>
        <v>0</v>
      </c>
      <c r="O41" s="37">
        <f t="shared" si="12"/>
        <v>8.8039748505412088E-2</v>
      </c>
    </row>
    <row r="42" spans="1:16" x14ac:dyDescent="0.35">
      <c r="A42" s="5" t="s">
        <v>134</v>
      </c>
      <c r="B42" s="6" t="s">
        <v>104</v>
      </c>
      <c r="C42" s="36">
        <v>70.5</v>
      </c>
      <c r="D42" s="36">
        <v>70.3</v>
      </c>
      <c r="E42" s="36">
        <v>70.8</v>
      </c>
      <c r="F42" s="36">
        <v>69.900000000000006</v>
      </c>
      <c r="G42" s="36">
        <v>70.900000000000006</v>
      </c>
      <c r="H42" s="36">
        <v>70.8</v>
      </c>
      <c r="I42" s="36"/>
      <c r="J42" s="36"/>
      <c r="K42" s="36"/>
      <c r="L42" s="36"/>
      <c r="M42" s="36"/>
      <c r="N42" s="36"/>
      <c r="O42" s="19">
        <f>SUMIFS($C42:$N42,$C$5:$N$5,"&lt;="&amp;$C$3)</f>
        <v>423.2</v>
      </c>
    </row>
    <row r="43" spans="1:16" x14ac:dyDescent="0.35">
      <c r="A43" s="32" t="s">
        <v>135</v>
      </c>
      <c r="B43" s="33" t="s">
        <v>104</v>
      </c>
      <c r="C43" s="34">
        <f t="shared" ref="C43:O43" si="13">C40-C42</f>
        <v>320.18037999999979</v>
      </c>
      <c r="D43" s="34">
        <f t="shared" si="13"/>
        <v>290.1439679999998</v>
      </c>
      <c r="E43" s="34">
        <f t="shared" si="13"/>
        <v>164.63440800000052</v>
      </c>
      <c r="F43" s="34">
        <f t="shared" si="13"/>
        <v>199.95879999999997</v>
      </c>
      <c r="G43" s="34">
        <f t="shared" si="13"/>
        <v>253.5083159999991</v>
      </c>
      <c r="H43" s="34">
        <f t="shared" si="13"/>
        <v>234.26387400000084</v>
      </c>
      <c r="I43" s="34">
        <f t="shared" si="13"/>
        <v>0</v>
      </c>
      <c r="J43" s="34">
        <f t="shared" si="13"/>
        <v>0</v>
      </c>
      <c r="K43" s="34">
        <f t="shared" si="13"/>
        <v>0</v>
      </c>
      <c r="L43" s="34">
        <f t="shared" si="13"/>
        <v>0</v>
      </c>
      <c r="M43" s="34">
        <f t="shared" si="13"/>
        <v>0</v>
      </c>
      <c r="N43" s="34">
        <f t="shared" si="13"/>
        <v>0</v>
      </c>
      <c r="O43" s="34">
        <f t="shared" si="13"/>
        <v>1462.6897460000007</v>
      </c>
      <c r="P43" s="56"/>
    </row>
    <row r="44" spans="1:16" x14ac:dyDescent="0.35">
      <c r="A44" s="7" t="s">
        <v>136</v>
      </c>
      <c r="B44" s="8"/>
      <c r="C44" s="8"/>
      <c r="D44" s="8"/>
      <c r="E44" s="8"/>
      <c r="F44" s="8"/>
      <c r="G44" s="8"/>
      <c r="H44" s="8"/>
      <c r="I44" s="8"/>
      <c r="J44" s="8"/>
      <c r="K44" s="8"/>
      <c r="L44" s="8"/>
      <c r="M44" s="8"/>
      <c r="N44" s="8"/>
      <c r="O44" s="8"/>
      <c r="P44" s="8"/>
    </row>
    <row r="45" spans="1:16" x14ac:dyDescent="0.35">
      <c r="A45" s="5" t="s">
        <v>137</v>
      </c>
      <c r="B45" s="6" t="s">
        <v>99</v>
      </c>
      <c r="C45" s="28">
        <v>65</v>
      </c>
      <c r="D45" s="28">
        <v>65</v>
      </c>
      <c r="E45" s="28">
        <v>65</v>
      </c>
      <c r="F45" s="28">
        <v>65</v>
      </c>
      <c r="G45" s="28">
        <v>65</v>
      </c>
      <c r="H45" s="28">
        <v>67</v>
      </c>
      <c r="I45" s="28"/>
      <c r="J45" s="28"/>
      <c r="K45" s="28"/>
      <c r="L45" s="28"/>
      <c r="M45" s="28"/>
      <c r="N45" s="28"/>
      <c r="O45" s="9">
        <f t="shared" ref="O45:O50" si="14">IFERROR(AVERAGEIFS($C45:$N45,$C$5:$N$5,"&lt;="&amp;$C$3),0)</f>
        <v>65.333333333333329</v>
      </c>
    </row>
    <row r="46" spans="1:16" x14ac:dyDescent="0.35">
      <c r="A46" s="5" t="s">
        <v>138</v>
      </c>
      <c r="B46" s="6" t="s">
        <v>99</v>
      </c>
      <c r="C46" s="28">
        <v>150</v>
      </c>
      <c r="D46" s="28">
        <v>150</v>
      </c>
      <c r="E46" s="28">
        <v>150</v>
      </c>
      <c r="F46" s="28">
        <v>150</v>
      </c>
      <c r="G46" s="28">
        <v>150</v>
      </c>
      <c r="H46" s="28">
        <v>150</v>
      </c>
      <c r="I46" s="28"/>
      <c r="J46" s="28"/>
      <c r="K46" s="28"/>
      <c r="L46" s="28"/>
      <c r="M46" s="28"/>
      <c r="N46" s="28"/>
      <c r="O46" s="9">
        <f t="shared" si="14"/>
        <v>150</v>
      </c>
    </row>
    <row r="47" spans="1:16" x14ac:dyDescent="0.35">
      <c r="A47" s="5" t="s">
        <v>139</v>
      </c>
      <c r="B47" s="6" t="s">
        <v>99</v>
      </c>
      <c r="C47" s="28">
        <v>65</v>
      </c>
      <c r="D47" s="28">
        <v>65</v>
      </c>
      <c r="E47" s="28">
        <v>65</v>
      </c>
      <c r="F47" s="28">
        <v>67</v>
      </c>
      <c r="G47" s="28">
        <v>67</v>
      </c>
      <c r="H47" s="28">
        <v>67</v>
      </c>
      <c r="I47" s="28"/>
      <c r="J47" s="28"/>
      <c r="K47" s="28"/>
      <c r="L47" s="28"/>
      <c r="M47" s="28"/>
      <c r="N47" s="28"/>
      <c r="O47" s="9">
        <f t="shared" si="14"/>
        <v>66</v>
      </c>
    </row>
    <row r="48" spans="1:16" x14ac:dyDescent="0.35">
      <c r="A48" s="5" t="s">
        <v>140</v>
      </c>
      <c r="B48" s="6" t="s">
        <v>99</v>
      </c>
      <c r="C48" s="28">
        <v>13</v>
      </c>
      <c r="D48" s="28">
        <v>13</v>
      </c>
      <c r="E48" s="28">
        <v>13</v>
      </c>
      <c r="F48" s="28">
        <v>13</v>
      </c>
      <c r="G48" s="28">
        <v>13</v>
      </c>
      <c r="H48" s="28">
        <v>14</v>
      </c>
      <c r="I48" s="28"/>
      <c r="J48" s="28"/>
      <c r="K48" s="28"/>
      <c r="L48" s="28"/>
      <c r="M48" s="28"/>
      <c r="N48" s="28"/>
      <c r="O48" s="9">
        <f t="shared" si="14"/>
        <v>13.166666666666666</v>
      </c>
    </row>
    <row r="49" spans="1:16" x14ac:dyDescent="0.35">
      <c r="A49" s="5" t="s">
        <v>141</v>
      </c>
      <c r="B49" s="6" t="s">
        <v>99</v>
      </c>
      <c r="C49" s="28">
        <v>52</v>
      </c>
      <c r="D49" s="28">
        <v>52</v>
      </c>
      <c r="E49" s="28">
        <v>52</v>
      </c>
      <c r="F49" s="28">
        <v>54</v>
      </c>
      <c r="G49" s="28">
        <v>54</v>
      </c>
      <c r="H49" s="28">
        <v>54</v>
      </c>
      <c r="I49" s="28"/>
      <c r="J49" s="28"/>
      <c r="K49" s="28"/>
      <c r="L49" s="28"/>
      <c r="M49" s="28"/>
      <c r="N49" s="28"/>
      <c r="O49" s="9">
        <f t="shared" si="14"/>
        <v>53</v>
      </c>
    </row>
    <row r="50" spans="1:16" x14ac:dyDescent="0.35">
      <c r="A50" s="5" t="s">
        <v>142</v>
      </c>
      <c r="B50" s="6" t="s">
        <v>99</v>
      </c>
      <c r="C50" s="28">
        <v>30</v>
      </c>
      <c r="D50" s="28">
        <v>30</v>
      </c>
      <c r="E50" s="28">
        <v>30</v>
      </c>
      <c r="F50" s="28">
        <v>30</v>
      </c>
      <c r="G50" s="28">
        <v>30</v>
      </c>
      <c r="H50" s="28">
        <v>30</v>
      </c>
      <c r="I50" s="28"/>
      <c r="J50" s="28"/>
      <c r="K50" s="28"/>
      <c r="L50" s="28"/>
      <c r="M50" s="28"/>
      <c r="N50" s="28"/>
      <c r="O50" s="9">
        <f t="shared" si="14"/>
        <v>30</v>
      </c>
    </row>
    <row r="51" spans="1:16" x14ac:dyDescent="0.35">
      <c r="A51" s="32" t="s">
        <v>143</v>
      </c>
      <c r="B51" s="33" t="s">
        <v>99</v>
      </c>
      <c r="C51" s="38">
        <f t="shared" ref="C51:O51" si="15">C45+C46+C47+C48+C49+C50</f>
        <v>375</v>
      </c>
      <c r="D51" s="38">
        <f t="shared" si="15"/>
        <v>375</v>
      </c>
      <c r="E51" s="38">
        <f t="shared" si="15"/>
        <v>375</v>
      </c>
      <c r="F51" s="38">
        <f t="shared" si="15"/>
        <v>379</v>
      </c>
      <c r="G51" s="38">
        <f t="shared" si="15"/>
        <v>379</v>
      </c>
      <c r="H51" s="38">
        <f t="shared" si="15"/>
        <v>382</v>
      </c>
      <c r="I51" s="38">
        <f t="shared" si="15"/>
        <v>0</v>
      </c>
      <c r="J51" s="38">
        <f t="shared" si="15"/>
        <v>0</v>
      </c>
      <c r="K51" s="38">
        <f t="shared" si="15"/>
        <v>0</v>
      </c>
      <c r="L51" s="38">
        <f t="shared" si="15"/>
        <v>0</v>
      </c>
      <c r="M51" s="38">
        <f t="shared" si="15"/>
        <v>0</v>
      </c>
      <c r="N51" s="38">
        <f t="shared" si="15"/>
        <v>0</v>
      </c>
      <c r="O51" s="38">
        <f t="shared" si="15"/>
        <v>377.5</v>
      </c>
      <c r="P51" s="56"/>
    </row>
    <row r="52" spans="1:16" x14ac:dyDescent="0.35">
      <c r="A52" s="7" t="s">
        <v>144</v>
      </c>
      <c r="B52" s="8"/>
      <c r="C52" s="8"/>
      <c r="D52" s="8"/>
      <c r="E52" s="8"/>
      <c r="F52" s="8"/>
      <c r="G52" s="8"/>
      <c r="H52" s="8"/>
      <c r="I52" s="8"/>
      <c r="J52" s="8"/>
      <c r="K52" s="8"/>
      <c r="L52" s="8"/>
      <c r="M52" s="8"/>
      <c r="N52" s="8"/>
      <c r="O52" s="8"/>
      <c r="P52" s="8"/>
    </row>
    <row r="53" spans="1:16" x14ac:dyDescent="0.35">
      <c r="A53" s="5" t="s">
        <v>145</v>
      </c>
      <c r="B53" s="6" t="s">
        <v>108</v>
      </c>
      <c r="C53" s="37">
        <f t="shared" ref="C53:O53" si="16">IF(C13=0,0,(C26+C27)/C13)</f>
        <v>0.31351660296596751</v>
      </c>
      <c r="D53" s="37">
        <f t="shared" si="16"/>
        <v>0.31276032697804351</v>
      </c>
      <c r="E53" s="37">
        <f t="shared" si="16"/>
        <v>0.32274967203148164</v>
      </c>
      <c r="F53" s="37">
        <f t="shared" si="16"/>
        <v>0.32094091442625899</v>
      </c>
      <c r="G53" s="37">
        <f t="shared" si="16"/>
        <v>0.34369619339315777</v>
      </c>
      <c r="H53" s="37">
        <f t="shared" si="16"/>
        <v>0.35955543064591344</v>
      </c>
      <c r="I53" s="37">
        <f t="shared" si="16"/>
        <v>0</v>
      </c>
      <c r="J53" s="37">
        <f t="shared" si="16"/>
        <v>0</v>
      </c>
      <c r="K53" s="37">
        <f t="shared" si="16"/>
        <v>0</v>
      </c>
      <c r="L53" s="37">
        <f t="shared" si="16"/>
        <v>0</v>
      </c>
      <c r="M53" s="37">
        <f t="shared" si="16"/>
        <v>0</v>
      </c>
      <c r="N53" s="37">
        <f t="shared" si="16"/>
        <v>0</v>
      </c>
      <c r="O53" s="37">
        <f t="shared" si="16"/>
        <v>0.32937474043614356</v>
      </c>
    </row>
    <row r="54" spans="1:16" x14ac:dyDescent="0.35">
      <c r="A54" s="5" t="s">
        <v>146</v>
      </c>
      <c r="B54" s="6" t="s">
        <v>108</v>
      </c>
      <c r="C54" s="37">
        <f t="shared" ref="C54:O54" si="17">IF(C13=0,0,(C18+C21+C25+C29+C32+C35)/C13)</f>
        <v>0.11638732465415198</v>
      </c>
      <c r="D54" s="37">
        <f t="shared" si="17"/>
        <v>0.11847068651607111</v>
      </c>
      <c r="E54" s="37">
        <f t="shared" si="17"/>
        <v>0.11887340577021584</v>
      </c>
      <c r="F54" s="37">
        <f t="shared" si="17"/>
        <v>0.12407177503869156</v>
      </c>
      <c r="G54" s="37">
        <f t="shared" si="17"/>
        <v>0.11741122489731466</v>
      </c>
      <c r="H54" s="37">
        <f t="shared" si="17"/>
        <v>0.11188843762767817</v>
      </c>
      <c r="I54" s="37">
        <f t="shared" si="17"/>
        <v>0</v>
      </c>
      <c r="J54" s="37">
        <f t="shared" si="17"/>
        <v>0</v>
      </c>
      <c r="K54" s="37">
        <f t="shared" si="17"/>
        <v>0</v>
      </c>
      <c r="L54" s="37">
        <f t="shared" si="17"/>
        <v>0</v>
      </c>
      <c r="M54" s="37">
        <f t="shared" si="17"/>
        <v>0</v>
      </c>
      <c r="N54" s="37">
        <f t="shared" si="17"/>
        <v>0</v>
      </c>
      <c r="O54" s="37">
        <f t="shared" si="17"/>
        <v>0.11773087065493736</v>
      </c>
    </row>
    <row r="55" spans="1:16" x14ac:dyDescent="0.35">
      <c r="A55" s="5" t="s">
        <v>147</v>
      </c>
      <c r="B55" s="6" t="s">
        <v>101</v>
      </c>
      <c r="C55" s="9">
        <f t="shared" ref="C55:O55" si="18">IF(C10=0,0,C22*100000/C10)</f>
        <v>52.750168258210508</v>
      </c>
      <c r="D55" s="9">
        <f t="shared" si="18"/>
        <v>52.783147420458867</v>
      </c>
      <c r="E55" s="9">
        <f t="shared" si="18"/>
        <v>56.255625562556254</v>
      </c>
      <c r="F55" s="9">
        <f t="shared" si="18"/>
        <v>57.005431515015644</v>
      </c>
      <c r="G55" s="9">
        <f t="shared" si="18"/>
        <v>56.772226113676027</v>
      </c>
      <c r="H55" s="9">
        <f t="shared" si="18"/>
        <v>56.221765462359436</v>
      </c>
      <c r="I55" s="9">
        <f t="shared" si="18"/>
        <v>0</v>
      </c>
      <c r="J55" s="9">
        <f t="shared" si="18"/>
        <v>0</v>
      </c>
      <c r="K55" s="9">
        <f t="shared" si="18"/>
        <v>0</v>
      </c>
      <c r="L55" s="9">
        <f t="shared" si="18"/>
        <v>0</v>
      </c>
      <c r="M55" s="9">
        <f t="shared" si="18"/>
        <v>0</v>
      </c>
      <c r="N55" s="9">
        <f t="shared" si="18"/>
        <v>0</v>
      </c>
      <c r="O55" s="9">
        <f t="shared" si="18"/>
        <v>55.300936803206241</v>
      </c>
    </row>
    <row r="56" spans="1:16" x14ac:dyDescent="0.35">
      <c r="A56" s="5" t="s">
        <v>148</v>
      </c>
      <c r="B56" s="6" t="s">
        <v>149</v>
      </c>
      <c r="C56" s="39">
        <f t="shared" ref="C56:O56" si="19">IF((C26+C27)=0,0,C13/(C26+C27))</f>
        <v>3.1896237409428387</v>
      </c>
      <c r="D56" s="39">
        <f t="shared" si="19"/>
        <v>3.197336470588235</v>
      </c>
      <c r="E56" s="39">
        <f t="shared" si="19"/>
        <v>3.0983765024630547</v>
      </c>
      <c r="F56" s="39">
        <f t="shared" si="19"/>
        <v>3.1158383211678831</v>
      </c>
      <c r="G56" s="39">
        <f t="shared" si="19"/>
        <v>2.9095463354640336</v>
      </c>
      <c r="H56" s="39">
        <f t="shared" si="19"/>
        <v>2.7812123382577689</v>
      </c>
      <c r="I56" s="39">
        <f t="shared" si="19"/>
        <v>0</v>
      </c>
      <c r="J56" s="39">
        <f t="shared" si="19"/>
        <v>0</v>
      </c>
      <c r="K56" s="39">
        <f t="shared" si="19"/>
        <v>0</v>
      </c>
      <c r="L56" s="39">
        <f t="shared" si="19"/>
        <v>0</v>
      </c>
      <c r="M56" s="39">
        <f t="shared" si="19"/>
        <v>0</v>
      </c>
      <c r="N56" s="39">
        <f t="shared" si="19"/>
        <v>0</v>
      </c>
      <c r="O56" s="39">
        <f t="shared" si="19"/>
        <v>3.036055523492311</v>
      </c>
    </row>
    <row r="57" spans="1:16" x14ac:dyDescent="0.35">
      <c r="A57" s="5" t="s">
        <v>150</v>
      </c>
      <c r="B57" s="6" t="s">
        <v>104</v>
      </c>
      <c r="C57" s="9">
        <f t="shared" ref="C57:N57" si="20">IF(C51=0,0,C13/(C51*1))</f>
        <v>9.5084810133333324</v>
      </c>
      <c r="D57" s="9">
        <f t="shared" si="20"/>
        <v>9.3345172479999992</v>
      </c>
      <c r="E57" s="9">
        <f t="shared" si="20"/>
        <v>9.3926250880000008</v>
      </c>
      <c r="F57" s="9">
        <f t="shared" si="20"/>
        <v>9.0104453825857522</v>
      </c>
      <c r="G57" s="9">
        <f t="shared" si="20"/>
        <v>9.4878847387862777</v>
      </c>
      <c r="H57" s="9">
        <f t="shared" si="20"/>
        <v>10.004355691099477</v>
      </c>
      <c r="I57" s="9">
        <f t="shared" si="20"/>
        <v>0</v>
      </c>
      <c r="J57" s="9">
        <f t="shared" si="20"/>
        <v>0</v>
      </c>
      <c r="K57" s="9">
        <f t="shared" si="20"/>
        <v>0</v>
      </c>
      <c r="L57" s="9">
        <f t="shared" si="20"/>
        <v>0</v>
      </c>
      <c r="M57" s="9">
        <f t="shared" si="20"/>
        <v>0</v>
      </c>
      <c r="N57" s="9">
        <f t="shared" si="20"/>
        <v>0</v>
      </c>
      <c r="O57" s="9">
        <f>IF(O51=0,0,O13/(O51*$F$3))</f>
        <v>9.4573464662251663</v>
      </c>
    </row>
    <row r="58" spans="1:16" x14ac:dyDescent="0.35">
      <c r="A58" s="5" t="s">
        <v>151</v>
      </c>
      <c r="B58" s="6" t="s">
        <v>104</v>
      </c>
      <c r="C58" s="27">
        <f t="shared" ref="C58:N58" si="21">IF(C51=0,0,(C18+C21+C25+C29+C32+C35)/(C51*1))</f>
        <v>1.1066666666666667</v>
      </c>
      <c r="D58" s="27">
        <f t="shared" si="21"/>
        <v>1.1058666666666666</v>
      </c>
      <c r="E58" s="27">
        <f t="shared" si="21"/>
        <v>1.1165333333333334</v>
      </c>
      <c r="F58" s="27">
        <f t="shared" si="21"/>
        <v>1.1179419525065963</v>
      </c>
      <c r="G58" s="27">
        <f t="shared" si="21"/>
        <v>1.1139841688654353</v>
      </c>
      <c r="H58" s="27">
        <f t="shared" si="21"/>
        <v>1.119371727748691</v>
      </c>
      <c r="I58" s="27">
        <f t="shared" si="21"/>
        <v>0</v>
      </c>
      <c r="J58" s="27">
        <f t="shared" si="21"/>
        <v>0</v>
      </c>
      <c r="K58" s="27">
        <f t="shared" si="21"/>
        <v>0</v>
      </c>
      <c r="L58" s="27">
        <f t="shared" si="21"/>
        <v>0</v>
      </c>
      <c r="M58" s="27">
        <f t="shared" si="21"/>
        <v>0</v>
      </c>
      <c r="N58" s="27">
        <f t="shared" si="21"/>
        <v>0</v>
      </c>
      <c r="O58" s="27">
        <f>IF(O51=0,0,(O18+O21+O25+O29+O32+O35)/(O51*$F$3))</f>
        <v>1.1134216335540839</v>
      </c>
    </row>
    <row r="60" spans="1:16" x14ac:dyDescent="0.35">
      <c r="A60" s="7" t="s">
        <v>247</v>
      </c>
      <c r="B60" s="8"/>
      <c r="C60" s="8"/>
      <c r="D60" s="8"/>
      <c r="E60" s="8"/>
      <c r="F60" s="8"/>
      <c r="G60" s="8"/>
      <c r="H60" s="8"/>
      <c r="I60" s="8"/>
      <c r="J60" s="8"/>
      <c r="K60" s="8"/>
      <c r="L60" s="8"/>
      <c r="M60" s="8"/>
      <c r="N60" s="8"/>
      <c r="O60" s="8"/>
      <c r="P60" s="8"/>
    </row>
    <row r="61" spans="1:16" x14ac:dyDescent="0.35">
      <c r="A61" s="5" t="s">
        <v>98</v>
      </c>
      <c r="B61" s="6" t="s">
        <v>99</v>
      </c>
      <c r="C61" s="48">
        <f>'Assumptions &amp; Budget'!C64</f>
        <v>506521.98720833333</v>
      </c>
      <c r="D61" s="48">
        <f>'Assumptions &amp; Budget'!D64</f>
        <v>506521.98720833333</v>
      </c>
      <c r="E61" s="48">
        <f>'Assumptions &amp; Budget'!E64</f>
        <v>490526.55603333336</v>
      </c>
      <c r="F61" s="48">
        <f>'Assumptions &amp; Budget'!F64</f>
        <v>479862.9352500001</v>
      </c>
      <c r="G61" s="48">
        <f>'Assumptions &amp; Budget'!G64</f>
        <v>506521.98720833333</v>
      </c>
      <c r="H61" s="48">
        <f>'Assumptions &amp; Budget'!H64</f>
        <v>533181.03916666668</v>
      </c>
      <c r="I61" s="48">
        <f>'Assumptions &amp; Budget'!I64</f>
        <v>639817.24700000009</v>
      </c>
      <c r="J61" s="48">
        <f>'Assumptions &amp; Budget'!J64</f>
        <v>613158.19504166662</v>
      </c>
      <c r="K61" s="48">
        <f>'Assumptions &amp; Budget'!K64</f>
        <v>559840.09112500015</v>
      </c>
      <c r="L61" s="48">
        <f>'Assumptions &amp; Budget'!L64</f>
        <v>533181.03916666668</v>
      </c>
      <c r="M61" s="48">
        <f>'Assumptions &amp; Budget'!M64</f>
        <v>506521.98720833333</v>
      </c>
      <c r="N61" s="48">
        <f>'Assumptions &amp; Budget'!N64</f>
        <v>522517.41838333337</v>
      </c>
      <c r="O61" s="29">
        <f>SUMIFS($C61:$N61,$C$5:$N$5,"&lt;="&amp;$C$3)</f>
        <v>3023136.492075</v>
      </c>
    </row>
    <row r="62" spans="1:16" x14ac:dyDescent="0.35">
      <c r="A62" s="5" t="s">
        <v>100</v>
      </c>
      <c r="B62" s="6" t="s">
        <v>101</v>
      </c>
      <c r="C62" s="49">
        <f>'Assumptions &amp; Budget'!C65</f>
        <v>696.88439999999991</v>
      </c>
      <c r="D62" s="49">
        <f>'Assumptions &amp; Budget'!D65</f>
        <v>698.97505319999982</v>
      </c>
      <c r="E62" s="49">
        <f>'Assumptions &amp; Budget'!E65</f>
        <v>701.07197835959971</v>
      </c>
      <c r="F62" s="49">
        <f>'Assumptions &amp; Budget'!F65</f>
        <v>703.17519429467848</v>
      </c>
      <c r="G62" s="49">
        <f>'Assumptions &amp; Budget'!G65</f>
        <v>705.28471987756245</v>
      </c>
      <c r="H62" s="49">
        <f>'Assumptions &amp; Budget'!H65</f>
        <v>707.40057403719504</v>
      </c>
      <c r="I62" s="49">
        <f>'Assumptions &amp; Budget'!I65</f>
        <v>709.52277575930657</v>
      </c>
      <c r="J62" s="49">
        <f>'Assumptions &amp; Budget'!J65</f>
        <v>711.65134408658446</v>
      </c>
      <c r="K62" s="49">
        <f>'Assumptions &amp; Budget'!K65</f>
        <v>713.78629811884412</v>
      </c>
      <c r="L62" s="49">
        <f>'Assumptions &amp; Budget'!L65</f>
        <v>715.92765701320059</v>
      </c>
      <c r="M62" s="49">
        <f>'Assumptions &amp; Budget'!M65</f>
        <v>718.07543998424012</v>
      </c>
      <c r="N62" s="49">
        <f>'Assumptions &amp; Budget'!N65</f>
        <v>720.22966630419273</v>
      </c>
      <c r="O62" s="9">
        <f>IF(O61=0,0,O63*100000/O61)</f>
        <v>702.17485598182043</v>
      </c>
    </row>
    <row r="63" spans="1:16" x14ac:dyDescent="0.35">
      <c r="A63" s="32" t="s">
        <v>103</v>
      </c>
      <c r="B63" s="33" t="s">
        <v>104</v>
      </c>
      <c r="C63" s="50">
        <f>'Assumptions &amp; Budget'!C67</f>
        <v>3529.87271142487</v>
      </c>
      <c r="D63" s="50">
        <f>'Assumptions &amp; Budget'!D67</f>
        <v>3540.4623295591446</v>
      </c>
      <c r="E63" s="50">
        <f>'Assumptions &amp; Budget'!E67</f>
        <v>3438.9442307621007</v>
      </c>
      <c r="F63" s="50">
        <f>'Assumptions &amp; Budget'!F67</f>
        <v>3374.2771272923355</v>
      </c>
      <c r="G63" s="50">
        <f>'Assumptions &amp; Budget'!G67</f>
        <v>3572.4221786005564</v>
      </c>
      <c r="H63" s="50">
        <f>'Assumptions &amp; Budget'!H67</f>
        <v>3771.7257317224817</v>
      </c>
      <c r="I63" s="50">
        <f>'Assumptions &amp; Budget'!I67</f>
        <v>4539.6490907011794</v>
      </c>
      <c r="J63" s="50">
        <f>'Assumptions &amp; Budget'!J67</f>
        <v>4363.5485363910611</v>
      </c>
      <c r="K63" s="50">
        <f>'Assumptions &amp; Budget'!K67</f>
        <v>3996.0618618263024</v>
      </c>
      <c r="L63" s="50">
        <f>'Assumptions &amp; Budget'!L67</f>
        <v>3817.1905213445521</v>
      </c>
      <c r="M63" s="50">
        <f>'Assumptions &amp; Budget'!M67</f>
        <v>3637.209988263156</v>
      </c>
      <c r="N63" s="50">
        <f>'Assumptions &amp; Budget'!N67</f>
        <v>3763.3254588035643</v>
      </c>
      <c r="O63" s="34">
        <f t="shared" ref="O63:O87" si="22">SUMIFS($C63:$N63,$C$5:$N$5,"&lt;="&amp;$C$3)</f>
        <v>21227.704309361488</v>
      </c>
      <c r="P63" s="56"/>
    </row>
    <row r="64" spans="1:16" x14ac:dyDescent="0.35">
      <c r="A64" s="5" t="s">
        <v>105</v>
      </c>
      <c r="B64" s="6" t="s">
        <v>104</v>
      </c>
      <c r="C64" s="51">
        <f>'Assumptions &amp; Budget'!C68</f>
        <v>1094.2605405417098</v>
      </c>
      <c r="D64" s="51">
        <f>'Assumptions &amp; Budget'!D68</f>
        <v>1097.543322163335</v>
      </c>
      <c r="E64" s="51">
        <f>'Assumptions &amp; Budget'!E68</f>
        <v>1066.0727115362513</v>
      </c>
      <c r="F64" s="51">
        <f>'Assumptions &amp; Budget'!F68</f>
        <v>1046.0259094606242</v>
      </c>
      <c r="G64" s="51">
        <f>'Assumptions &amp; Budget'!G68</f>
        <v>1107.4508753661728</v>
      </c>
      <c r="H64" s="51">
        <f>'Assumptions &amp; Budget'!H68</f>
        <v>1169.2349768339695</v>
      </c>
      <c r="I64" s="51">
        <f>'Assumptions &amp; Budget'!I68</f>
        <v>1407.2912181173658</v>
      </c>
      <c r="J64" s="51">
        <f>'Assumptions &amp; Budget'!J68</f>
        <v>1352.7000462812291</v>
      </c>
      <c r="K64" s="51">
        <f>'Assumptions &amp; Budget'!K68</f>
        <v>1238.7791771661539</v>
      </c>
      <c r="L64" s="51">
        <f>'Assumptions &amp; Budget'!L68</f>
        <v>1183.3290616168113</v>
      </c>
      <c r="M64" s="51">
        <f>'Assumptions &amp; Budget'!M68</f>
        <v>1127.5350963615786</v>
      </c>
      <c r="N64" s="51">
        <f>'Assumptions &amp; Budget'!N68</f>
        <v>1166.630892229105</v>
      </c>
      <c r="O64" s="19">
        <f t="shared" si="22"/>
        <v>6580.5883359020627</v>
      </c>
    </row>
    <row r="65" spans="1:16" x14ac:dyDescent="0.35">
      <c r="A65" s="32" t="s">
        <v>106</v>
      </c>
      <c r="B65" s="33" t="s">
        <v>104</v>
      </c>
      <c r="C65" s="50">
        <f>'Assumptions &amp; Budget'!C69</f>
        <v>2435.6121708831602</v>
      </c>
      <c r="D65" s="50">
        <f>'Assumptions &amp; Budget'!D69</f>
        <v>2442.9190073958098</v>
      </c>
      <c r="E65" s="50">
        <f>'Assumptions &amp; Budget'!E69</f>
        <v>2372.8715192258496</v>
      </c>
      <c r="F65" s="50">
        <f>'Assumptions &amp; Budget'!F69</f>
        <v>2328.2512178317111</v>
      </c>
      <c r="G65" s="50">
        <f>'Assumptions &amp; Budget'!G69</f>
        <v>2464.9713032343834</v>
      </c>
      <c r="H65" s="50">
        <f>'Assumptions &amp; Budget'!H69</f>
        <v>2602.4907548885121</v>
      </c>
      <c r="I65" s="50">
        <f>'Assumptions &amp; Budget'!I69</f>
        <v>3132.3578725838133</v>
      </c>
      <c r="J65" s="50">
        <f>'Assumptions &amp; Budget'!J69</f>
        <v>3010.8484901098318</v>
      </c>
      <c r="K65" s="50">
        <f>'Assumptions &amp; Budget'!K69</f>
        <v>2757.2826846601483</v>
      </c>
      <c r="L65" s="50">
        <f>'Assumptions &amp; Budget'!L69</f>
        <v>2633.861459727741</v>
      </c>
      <c r="M65" s="50">
        <f>'Assumptions &amp; Budget'!M69</f>
        <v>2509.6748919015772</v>
      </c>
      <c r="N65" s="50">
        <f>'Assumptions &amp; Budget'!N69</f>
        <v>2596.6945665744593</v>
      </c>
      <c r="O65" s="34">
        <f t="shared" si="22"/>
        <v>14647.115973459426</v>
      </c>
      <c r="P65" s="56"/>
    </row>
    <row r="66" spans="1:16" x14ac:dyDescent="0.35">
      <c r="A66" s="5" t="s">
        <v>110</v>
      </c>
      <c r="B66" s="6" t="s">
        <v>104</v>
      </c>
      <c r="C66" s="51">
        <f>'Assumptions &amp; Budget'!C72</f>
        <v>71.207597765363147</v>
      </c>
      <c r="D66" s="51">
        <f>'Assumptions &amp; Budget'!D72</f>
        <v>71.207597765363147</v>
      </c>
      <c r="E66" s="51">
        <f>'Assumptions &amp; Budget'!E72</f>
        <v>71.207597765363147</v>
      </c>
      <c r="F66" s="51">
        <f>'Assumptions &amp; Budget'!F72</f>
        <v>71.207597765363147</v>
      </c>
      <c r="G66" s="51">
        <f>'Assumptions &amp; Budget'!G72</f>
        <v>71.207597765363147</v>
      </c>
      <c r="H66" s="51">
        <f>'Assumptions &amp; Budget'!H72</f>
        <v>73.581184357541915</v>
      </c>
      <c r="I66" s="51">
        <f>'Assumptions &amp; Budget'!I72</f>
        <v>73.581184357541915</v>
      </c>
      <c r="J66" s="51">
        <f>'Assumptions &amp; Budget'!J72</f>
        <v>73.581184357541915</v>
      </c>
      <c r="K66" s="51">
        <f>'Assumptions &amp; Budget'!K72</f>
        <v>73.581184357541915</v>
      </c>
      <c r="L66" s="51">
        <f>'Assumptions &amp; Budget'!L72</f>
        <v>74.767977653631291</v>
      </c>
      <c r="M66" s="51">
        <f>'Assumptions &amp; Budget'!M72</f>
        <v>74.767977653631291</v>
      </c>
      <c r="N66" s="51">
        <f>'Assumptions &amp; Budget'!N72</f>
        <v>74.767977653631291</v>
      </c>
      <c r="O66" s="19">
        <f t="shared" si="22"/>
        <v>429.61917318435769</v>
      </c>
    </row>
    <row r="67" spans="1:16" x14ac:dyDescent="0.35">
      <c r="A67" s="5" t="s">
        <v>111</v>
      </c>
      <c r="B67" s="6" t="s">
        <v>104</v>
      </c>
      <c r="C67" s="51">
        <f>'Assumptions &amp; Budget'!C73</f>
        <v>105.89618134274609</v>
      </c>
      <c r="D67" s="51">
        <f>'Assumptions &amp; Budget'!D73</f>
        <v>106.21386988677433</v>
      </c>
      <c r="E67" s="51">
        <f>'Assumptions &amp; Budget'!E73</f>
        <v>103.16832692286302</v>
      </c>
      <c r="F67" s="51">
        <f>'Assumptions &amp; Budget'!F73</f>
        <v>101.22831381877006</v>
      </c>
      <c r="G67" s="51">
        <f>'Assumptions &amp; Budget'!G73</f>
        <v>107.17266535801669</v>
      </c>
      <c r="H67" s="51">
        <f>'Assumptions &amp; Budget'!H73</f>
        <v>113.15177195167445</v>
      </c>
      <c r="I67" s="51">
        <f>'Assumptions &amp; Budget'!I73</f>
        <v>136.18947272103537</v>
      </c>
      <c r="J67" s="51">
        <f>'Assumptions &amp; Budget'!J73</f>
        <v>130.90645609173183</v>
      </c>
      <c r="K67" s="51">
        <f>'Assumptions &amp; Budget'!K73</f>
        <v>119.88185585478907</v>
      </c>
      <c r="L67" s="51">
        <f>'Assumptions &amp; Budget'!L73</f>
        <v>114.51571564033655</v>
      </c>
      <c r="M67" s="51">
        <f>'Assumptions &amp; Budget'!M73</f>
        <v>109.11629964789468</v>
      </c>
      <c r="N67" s="51">
        <f>'Assumptions &amp; Budget'!N73</f>
        <v>112.89976376410692</v>
      </c>
      <c r="O67" s="19">
        <f t="shared" si="22"/>
        <v>636.83112928084461</v>
      </c>
    </row>
    <row r="68" spans="1:16" x14ac:dyDescent="0.35">
      <c r="A68" s="32" t="s">
        <v>112</v>
      </c>
      <c r="B68" s="33" t="s">
        <v>104</v>
      </c>
      <c r="C68" s="50">
        <f>'Assumptions &amp; Budget'!C74</f>
        <v>177.10377910810922</v>
      </c>
      <c r="D68" s="50">
        <f>'Assumptions &amp; Budget'!D74</f>
        <v>177.42146765213749</v>
      </c>
      <c r="E68" s="50">
        <f>'Assumptions &amp; Budget'!E74</f>
        <v>174.37592468822618</v>
      </c>
      <c r="F68" s="50">
        <f>'Assumptions &amp; Budget'!F74</f>
        <v>172.43591158413321</v>
      </c>
      <c r="G68" s="50">
        <f>'Assumptions &amp; Budget'!G74</f>
        <v>178.38026312337985</v>
      </c>
      <c r="H68" s="50">
        <f>'Assumptions &amp; Budget'!H74</f>
        <v>186.73295630921638</v>
      </c>
      <c r="I68" s="50">
        <f>'Assumptions &amp; Budget'!I74</f>
        <v>209.7706570785773</v>
      </c>
      <c r="J68" s="50">
        <f>'Assumptions &amp; Budget'!J74</f>
        <v>204.48764044927373</v>
      </c>
      <c r="K68" s="50">
        <f>'Assumptions &amp; Budget'!K74</f>
        <v>193.46304021233098</v>
      </c>
      <c r="L68" s="50">
        <f>'Assumptions &amp; Budget'!L74</f>
        <v>189.28369329396784</v>
      </c>
      <c r="M68" s="50">
        <f>'Assumptions &amp; Budget'!M74</f>
        <v>183.88427730152597</v>
      </c>
      <c r="N68" s="50">
        <f>'Assumptions &amp; Budget'!N74</f>
        <v>187.66774141773823</v>
      </c>
      <c r="O68" s="34">
        <f t="shared" si="22"/>
        <v>1066.4503024652024</v>
      </c>
      <c r="P68" s="56"/>
    </row>
    <row r="69" spans="1:16" x14ac:dyDescent="0.35">
      <c r="A69" s="5" t="s">
        <v>113</v>
      </c>
      <c r="B69" s="6" t="s">
        <v>104</v>
      </c>
      <c r="C69" s="51">
        <f>'Assumptions &amp; Budget'!C75</f>
        <v>100.93288590604027</v>
      </c>
      <c r="D69" s="51">
        <f>'Assumptions &amp; Budget'!D75</f>
        <v>100.93288590604027</v>
      </c>
      <c r="E69" s="51">
        <f>'Assumptions &amp; Budget'!E75</f>
        <v>100.93288590604027</v>
      </c>
      <c r="F69" s="51">
        <f>'Assumptions &amp; Budget'!F75</f>
        <v>100.93288590604027</v>
      </c>
      <c r="G69" s="51">
        <f>'Assumptions &amp; Budget'!G75</f>
        <v>100.93288590604027</v>
      </c>
      <c r="H69" s="51">
        <f>'Assumptions &amp; Budget'!H75</f>
        <v>100.93288590604027</v>
      </c>
      <c r="I69" s="51">
        <f>'Assumptions &amp; Budget'!I75</f>
        <v>100.93288590604027</v>
      </c>
      <c r="J69" s="51">
        <f>'Assumptions &amp; Budget'!J75</f>
        <v>100.93288590604027</v>
      </c>
      <c r="K69" s="51">
        <f>'Assumptions &amp; Budget'!K75</f>
        <v>103.62442953020134</v>
      </c>
      <c r="L69" s="51">
        <f>'Assumptions &amp; Budget'!L75</f>
        <v>103.62442953020134</v>
      </c>
      <c r="M69" s="51">
        <f>'Assumptions &amp; Budget'!M75</f>
        <v>103.62442953020134</v>
      </c>
      <c r="N69" s="51">
        <f>'Assumptions &amp; Budget'!N75</f>
        <v>103.62442953020134</v>
      </c>
      <c r="O69" s="19">
        <f t="shared" si="22"/>
        <v>605.59731543624162</v>
      </c>
    </row>
    <row r="70" spans="1:16" x14ac:dyDescent="0.35">
      <c r="A70" s="5" t="s">
        <v>114</v>
      </c>
      <c r="B70" s="6" t="s">
        <v>104</v>
      </c>
      <c r="C70" s="51">
        <f>'Assumptions &amp; Budget'!C76</f>
        <v>264.39576824999995</v>
      </c>
      <c r="D70" s="51">
        <f>'Assumptions &amp; Budget'!D76</f>
        <v>264.39576824999995</v>
      </c>
      <c r="E70" s="51">
        <f>'Assumptions &amp; Budget'!E76</f>
        <v>256.04642819999998</v>
      </c>
      <c r="F70" s="51">
        <f>'Assumptions &amp; Budget'!F76</f>
        <v>250.48020149999999</v>
      </c>
      <c r="G70" s="51">
        <f>'Assumptions &amp; Budget'!G76</f>
        <v>264.39576824999995</v>
      </c>
      <c r="H70" s="51">
        <f>'Assumptions &amp; Budget'!H76</f>
        <v>278.31133499999999</v>
      </c>
      <c r="I70" s="51">
        <f>'Assumptions &amp; Budget'!I76</f>
        <v>333.97360199999997</v>
      </c>
      <c r="J70" s="51">
        <f>'Assumptions &amp; Budget'!J76</f>
        <v>320.05803524999993</v>
      </c>
      <c r="K70" s="51">
        <f>'Assumptions &amp; Budget'!K76</f>
        <v>292.22690175000002</v>
      </c>
      <c r="L70" s="51">
        <f>'Assumptions &amp; Budget'!L76</f>
        <v>278.31133499999999</v>
      </c>
      <c r="M70" s="51">
        <f>'Assumptions &amp; Budget'!M76</f>
        <v>264.39576824999995</v>
      </c>
      <c r="N70" s="51">
        <f>'Assumptions &amp; Budget'!N76</f>
        <v>272.74510829999997</v>
      </c>
      <c r="O70" s="19">
        <f t="shared" si="22"/>
        <v>1578.02526945</v>
      </c>
    </row>
    <row r="71" spans="1:16" x14ac:dyDescent="0.35">
      <c r="A71" s="5" t="s">
        <v>115</v>
      </c>
      <c r="B71" s="6" t="s">
        <v>104</v>
      </c>
      <c r="C71" s="51">
        <f>'Assumptions &amp; Budget'!C77</f>
        <v>34.317500000000003</v>
      </c>
      <c r="D71" s="51">
        <f>'Assumptions &amp; Budget'!D77</f>
        <v>34.317500000000003</v>
      </c>
      <c r="E71" s="51">
        <f>'Assumptions &amp; Budget'!E77</f>
        <v>34.317500000000003</v>
      </c>
      <c r="F71" s="51">
        <f>'Assumptions &amp; Budget'!F77</f>
        <v>34.317500000000003</v>
      </c>
      <c r="G71" s="51">
        <f>'Assumptions &amp; Budget'!G77</f>
        <v>34.317500000000003</v>
      </c>
      <c r="H71" s="51">
        <f>'Assumptions &amp; Budget'!H77</f>
        <v>34.317500000000003</v>
      </c>
      <c r="I71" s="51">
        <f>'Assumptions &amp; Budget'!I77</f>
        <v>34.317500000000003</v>
      </c>
      <c r="J71" s="51">
        <f>'Assumptions &amp; Budget'!J77</f>
        <v>34.317500000000003</v>
      </c>
      <c r="K71" s="51">
        <f>'Assumptions &amp; Budget'!K77</f>
        <v>34.317500000000003</v>
      </c>
      <c r="L71" s="51">
        <f>'Assumptions &amp; Budget'!L77</f>
        <v>34.317500000000003</v>
      </c>
      <c r="M71" s="51">
        <f>'Assumptions &amp; Budget'!M77</f>
        <v>34.317500000000003</v>
      </c>
      <c r="N71" s="51">
        <f>'Assumptions &amp; Budget'!N77</f>
        <v>34.317500000000003</v>
      </c>
      <c r="O71" s="19">
        <f t="shared" si="22"/>
        <v>205.905</v>
      </c>
    </row>
    <row r="72" spans="1:16" x14ac:dyDescent="0.35">
      <c r="A72" s="32" t="s">
        <v>116</v>
      </c>
      <c r="B72" s="33" t="s">
        <v>104</v>
      </c>
      <c r="C72" s="50">
        <f>'Assumptions &amp; Budget'!C78</f>
        <v>399.64615415604021</v>
      </c>
      <c r="D72" s="50">
        <f>'Assumptions &amp; Budget'!D78</f>
        <v>399.64615415604021</v>
      </c>
      <c r="E72" s="50">
        <f>'Assumptions &amp; Budget'!E78</f>
        <v>391.29681410604024</v>
      </c>
      <c r="F72" s="50">
        <f>'Assumptions &amp; Budget'!F78</f>
        <v>385.73058740604029</v>
      </c>
      <c r="G72" s="50">
        <f>'Assumptions &amp; Budget'!G78</f>
        <v>399.64615415604021</v>
      </c>
      <c r="H72" s="50">
        <f>'Assumptions &amp; Budget'!H78</f>
        <v>413.56172090604025</v>
      </c>
      <c r="I72" s="50">
        <f>'Assumptions &amp; Budget'!I78</f>
        <v>469.22398790604024</v>
      </c>
      <c r="J72" s="50">
        <f>'Assumptions &amp; Budget'!J78</f>
        <v>455.3084211560402</v>
      </c>
      <c r="K72" s="50">
        <f>'Assumptions &amp; Budget'!K78</f>
        <v>430.16883128020135</v>
      </c>
      <c r="L72" s="50">
        <f>'Assumptions &amp; Budget'!L78</f>
        <v>416.25326453020131</v>
      </c>
      <c r="M72" s="50">
        <f>'Assumptions &amp; Budget'!M78</f>
        <v>402.33769778020127</v>
      </c>
      <c r="N72" s="50">
        <f>'Assumptions &amp; Budget'!N78</f>
        <v>410.68703783020129</v>
      </c>
      <c r="O72" s="34">
        <f t="shared" si="22"/>
        <v>2389.5275848862416</v>
      </c>
      <c r="P72" s="56"/>
    </row>
    <row r="73" spans="1:16" x14ac:dyDescent="0.35">
      <c r="A73" s="5" t="s">
        <v>117</v>
      </c>
      <c r="B73" s="6" t="s">
        <v>104</v>
      </c>
      <c r="C73" s="51">
        <f>'Assumptions &amp; Budget'!C79</f>
        <v>91.04288659793815</v>
      </c>
      <c r="D73" s="51">
        <f>'Assumptions &amp; Budget'!D79</f>
        <v>91.04288659793815</v>
      </c>
      <c r="E73" s="51">
        <f>'Assumptions &amp; Budget'!E79</f>
        <v>91.04288659793815</v>
      </c>
      <c r="F73" s="51">
        <f>'Assumptions &amp; Budget'!F79</f>
        <v>93.844206185567018</v>
      </c>
      <c r="G73" s="51">
        <f>'Assumptions &amp; Budget'!G79</f>
        <v>93.844206185567018</v>
      </c>
      <c r="H73" s="51">
        <f>'Assumptions &amp; Budget'!H79</f>
        <v>93.844206185567018</v>
      </c>
      <c r="I73" s="51">
        <f>'Assumptions &amp; Budget'!I79</f>
        <v>93.844206185567018</v>
      </c>
      <c r="J73" s="51">
        <f>'Assumptions &amp; Budget'!J79</f>
        <v>93.844206185567018</v>
      </c>
      <c r="K73" s="51">
        <f>'Assumptions &amp; Budget'!K79</f>
        <v>93.844206185567018</v>
      </c>
      <c r="L73" s="51">
        <f>'Assumptions &amp; Budget'!L79</f>
        <v>93.844206185567018</v>
      </c>
      <c r="M73" s="51">
        <f>'Assumptions &amp; Budget'!M79</f>
        <v>93.844206185567018</v>
      </c>
      <c r="N73" s="51">
        <f>'Assumptions &amp; Budget'!N79</f>
        <v>93.844206185567018</v>
      </c>
      <c r="O73" s="19">
        <f t="shared" si="22"/>
        <v>554.66127835051554</v>
      </c>
    </row>
    <row r="74" spans="1:16" x14ac:dyDescent="0.35">
      <c r="A74" s="5" t="s">
        <v>118</v>
      </c>
      <c r="B74" s="6" t="s">
        <v>104</v>
      </c>
      <c r="C74" s="51">
        <f>'Assumptions &amp; Budget'!C80</f>
        <v>758.922632956347</v>
      </c>
      <c r="D74" s="51">
        <f>'Assumptions &amp; Budget'!D80</f>
        <v>761.19940085521603</v>
      </c>
      <c r="E74" s="51">
        <f>'Assumptions &amp; Budget'!E80</f>
        <v>739.37300961385165</v>
      </c>
      <c r="F74" s="51">
        <f>'Assumptions &amp; Budget'!F80</f>
        <v>725.46958236785213</v>
      </c>
      <c r="G74" s="51">
        <f>'Assumptions &amp; Budget'!G80</f>
        <v>768.07076839911963</v>
      </c>
      <c r="H74" s="51">
        <f>'Assumptions &amp; Budget'!H80</f>
        <v>810.92103232033355</v>
      </c>
      <c r="I74" s="51">
        <f>'Assumptions &amp; Budget'!I80</f>
        <v>976.02455450075354</v>
      </c>
      <c r="J74" s="51">
        <f>'Assumptions &amp; Budget'!J80</f>
        <v>938.16293532407815</v>
      </c>
      <c r="K74" s="51">
        <f>'Assumptions &amp; Budget'!K80</f>
        <v>859.15330029265499</v>
      </c>
      <c r="L74" s="51">
        <f>'Assumptions &amp; Budget'!L80</f>
        <v>820.69596208907865</v>
      </c>
      <c r="M74" s="51">
        <f>'Assumptions &amp; Budget'!M80</f>
        <v>782.00014747657849</v>
      </c>
      <c r="N74" s="51">
        <f>'Assumptions &amp; Budget'!N80</f>
        <v>809.11497364276636</v>
      </c>
      <c r="O74" s="19">
        <f t="shared" si="22"/>
        <v>4563.9564265127201</v>
      </c>
    </row>
    <row r="75" spans="1:16" x14ac:dyDescent="0.35">
      <c r="A75" s="5" t="s">
        <v>119</v>
      </c>
      <c r="B75" s="6" t="s">
        <v>104</v>
      </c>
      <c r="C75" s="51">
        <f>'Assumptions &amp; Budget'!C81</f>
        <v>352.98727114248703</v>
      </c>
      <c r="D75" s="51">
        <f>'Assumptions &amp; Budget'!D81</f>
        <v>354.04623295591449</v>
      </c>
      <c r="E75" s="51">
        <f>'Assumptions &amp; Budget'!E81</f>
        <v>343.8944230762101</v>
      </c>
      <c r="F75" s="51">
        <f>'Assumptions &amp; Budget'!F81</f>
        <v>337.42771272923358</v>
      </c>
      <c r="G75" s="51">
        <f>'Assumptions &amp; Budget'!G81</f>
        <v>357.24221786005569</v>
      </c>
      <c r="H75" s="51">
        <f>'Assumptions &amp; Budget'!H81</f>
        <v>377.17257317224818</v>
      </c>
      <c r="I75" s="51">
        <f>'Assumptions &amp; Budget'!I81</f>
        <v>453.96490907011798</v>
      </c>
      <c r="J75" s="51">
        <f>'Assumptions &amp; Budget'!J81</f>
        <v>436.35485363910612</v>
      </c>
      <c r="K75" s="51">
        <f>'Assumptions &amp; Budget'!K81</f>
        <v>399.60618618263027</v>
      </c>
      <c r="L75" s="51">
        <f>'Assumptions &amp; Budget'!L81</f>
        <v>381.71905213445524</v>
      </c>
      <c r="M75" s="51">
        <f>'Assumptions &amp; Budget'!M81</f>
        <v>363.72099882631562</v>
      </c>
      <c r="N75" s="51">
        <f>'Assumptions &amp; Budget'!N81</f>
        <v>376.33254588035646</v>
      </c>
      <c r="O75" s="19">
        <f t="shared" si="22"/>
        <v>2122.7704309361493</v>
      </c>
    </row>
    <row r="76" spans="1:16" x14ac:dyDescent="0.35">
      <c r="A76" s="32" t="s">
        <v>120</v>
      </c>
      <c r="B76" s="33" t="s">
        <v>104</v>
      </c>
      <c r="C76" s="50">
        <f>'Assumptions &amp; Budget'!C82</f>
        <v>1202.9527906967721</v>
      </c>
      <c r="D76" s="50">
        <f>'Assumptions &amp; Budget'!D82</f>
        <v>1206.2885204090687</v>
      </c>
      <c r="E76" s="50">
        <f>'Assumptions &amp; Budget'!E82</f>
        <v>1174.3103192879998</v>
      </c>
      <c r="F76" s="50">
        <f>'Assumptions &amp; Budget'!F82</f>
        <v>1156.7415012826527</v>
      </c>
      <c r="G76" s="50">
        <f>'Assumptions &amp; Budget'!G82</f>
        <v>1219.1571924447423</v>
      </c>
      <c r="H76" s="50">
        <f>'Assumptions &amp; Budget'!H82</f>
        <v>1281.9378116781488</v>
      </c>
      <c r="I76" s="50">
        <f>'Assumptions &amp; Budget'!I82</f>
        <v>1523.8336697564384</v>
      </c>
      <c r="J76" s="50">
        <f>'Assumptions &amp; Budget'!J82</f>
        <v>1468.3619951487512</v>
      </c>
      <c r="K76" s="50">
        <f>'Assumptions &amp; Budget'!K82</f>
        <v>1352.6036926608522</v>
      </c>
      <c r="L76" s="50">
        <f>'Assumptions &amp; Budget'!L82</f>
        <v>1296.2592204091009</v>
      </c>
      <c r="M76" s="50">
        <f>'Assumptions &amp; Budget'!M82</f>
        <v>1239.565352488461</v>
      </c>
      <c r="N76" s="50">
        <f>'Assumptions &amp; Budget'!N82</f>
        <v>1279.2917257086899</v>
      </c>
      <c r="O76" s="34">
        <f t="shared" si="22"/>
        <v>7241.3881357993851</v>
      </c>
      <c r="P76" s="56"/>
    </row>
    <row r="77" spans="1:16" x14ac:dyDescent="0.35">
      <c r="A77" s="5" t="s">
        <v>121</v>
      </c>
      <c r="B77" s="6" t="s">
        <v>104</v>
      </c>
      <c r="C77" s="51">
        <f>'Assumptions &amp; Budget'!C83</f>
        <v>15.012</v>
      </c>
      <c r="D77" s="51">
        <f>'Assumptions &amp; Budget'!D83</f>
        <v>15.012</v>
      </c>
      <c r="E77" s="51">
        <f>'Assumptions &amp; Budget'!E83</f>
        <v>15.012</v>
      </c>
      <c r="F77" s="51">
        <f>'Assumptions &amp; Budget'!F83</f>
        <v>15.012</v>
      </c>
      <c r="G77" s="51">
        <f>'Assumptions &amp; Budget'!G83</f>
        <v>15.012</v>
      </c>
      <c r="H77" s="51">
        <f>'Assumptions &amp; Budget'!H83</f>
        <v>15.012</v>
      </c>
      <c r="I77" s="51">
        <f>'Assumptions &amp; Budget'!I83</f>
        <v>15.012</v>
      </c>
      <c r="J77" s="51">
        <f>'Assumptions &amp; Budget'!J83</f>
        <v>15.012</v>
      </c>
      <c r="K77" s="51">
        <f>'Assumptions &amp; Budget'!K83</f>
        <v>15.012</v>
      </c>
      <c r="L77" s="51">
        <f>'Assumptions &amp; Budget'!L83</f>
        <v>15.012</v>
      </c>
      <c r="M77" s="51">
        <f>'Assumptions &amp; Budget'!M83</f>
        <v>15.012</v>
      </c>
      <c r="N77" s="51">
        <f>'Assumptions &amp; Budget'!N83</f>
        <v>15.012</v>
      </c>
      <c r="O77" s="19">
        <f t="shared" si="22"/>
        <v>90.072000000000003</v>
      </c>
    </row>
    <row r="78" spans="1:16" x14ac:dyDescent="0.35">
      <c r="A78" s="5" t="s">
        <v>122</v>
      </c>
      <c r="B78" s="6" t="s">
        <v>104</v>
      </c>
      <c r="C78" s="51">
        <f>'Assumptions &amp; Budget'!C84</f>
        <v>10.123750000000001</v>
      </c>
      <c r="D78" s="51">
        <f>'Assumptions &amp; Budget'!D84</f>
        <v>10.123750000000001</v>
      </c>
      <c r="E78" s="51">
        <f>'Assumptions &amp; Budget'!E84</f>
        <v>10.123750000000001</v>
      </c>
      <c r="F78" s="51">
        <f>'Assumptions &amp; Budget'!F84</f>
        <v>10.123750000000001</v>
      </c>
      <c r="G78" s="51">
        <f>'Assumptions &amp; Budget'!G84</f>
        <v>10.123750000000001</v>
      </c>
      <c r="H78" s="51">
        <f>'Assumptions &amp; Budget'!H84</f>
        <v>10.123750000000001</v>
      </c>
      <c r="I78" s="51">
        <f>'Assumptions &amp; Budget'!I84</f>
        <v>10.123750000000001</v>
      </c>
      <c r="J78" s="51">
        <f>'Assumptions &amp; Budget'!J84</f>
        <v>10.123750000000001</v>
      </c>
      <c r="K78" s="51">
        <f>'Assumptions &amp; Budget'!K84</f>
        <v>10.123750000000001</v>
      </c>
      <c r="L78" s="51">
        <f>'Assumptions &amp; Budget'!L84</f>
        <v>10.123750000000001</v>
      </c>
      <c r="M78" s="51">
        <f>'Assumptions &amp; Budget'!M84</f>
        <v>10.123750000000001</v>
      </c>
      <c r="N78" s="51">
        <f>'Assumptions &amp; Budget'!N84</f>
        <v>10.123750000000001</v>
      </c>
      <c r="O78" s="19">
        <f t="shared" si="22"/>
        <v>60.742500000000007</v>
      </c>
    </row>
    <row r="79" spans="1:16" x14ac:dyDescent="0.35">
      <c r="A79" s="32" t="s">
        <v>123</v>
      </c>
      <c r="B79" s="33" t="s">
        <v>104</v>
      </c>
      <c r="C79" s="50">
        <f>'Assumptions &amp; Budget'!C85</f>
        <v>25.135750000000002</v>
      </c>
      <c r="D79" s="50">
        <f>'Assumptions &amp; Budget'!D85</f>
        <v>25.135750000000002</v>
      </c>
      <c r="E79" s="50">
        <f>'Assumptions &amp; Budget'!E85</f>
        <v>25.135750000000002</v>
      </c>
      <c r="F79" s="50">
        <f>'Assumptions &amp; Budget'!F85</f>
        <v>25.135750000000002</v>
      </c>
      <c r="G79" s="50">
        <f>'Assumptions &amp; Budget'!G85</f>
        <v>25.135750000000002</v>
      </c>
      <c r="H79" s="50">
        <f>'Assumptions &amp; Budget'!H85</f>
        <v>25.135750000000002</v>
      </c>
      <c r="I79" s="50">
        <f>'Assumptions &amp; Budget'!I85</f>
        <v>25.135750000000002</v>
      </c>
      <c r="J79" s="50">
        <f>'Assumptions &amp; Budget'!J85</f>
        <v>25.135750000000002</v>
      </c>
      <c r="K79" s="50">
        <f>'Assumptions &amp; Budget'!K85</f>
        <v>25.135750000000002</v>
      </c>
      <c r="L79" s="50">
        <f>'Assumptions &amp; Budget'!L85</f>
        <v>25.135750000000002</v>
      </c>
      <c r="M79" s="50">
        <f>'Assumptions &amp; Budget'!M85</f>
        <v>25.135750000000002</v>
      </c>
      <c r="N79" s="50">
        <f>'Assumptions &amp; Budget'!N85</f>
        <v>25.135750000000002</v>
      </c>
      <c r="O79" s="34">
        <f t="shared" si="22"/>
        <v>150.81450000000001</v>
      </c>
      <c r="P79" s="56"/>
    </row>
    <row r="80" spans="1:16" x14ac:dyDescent="0.35">
      <c r="A80" s="5" t="s">
        <v>124</v>
      </c>
      <c r="B80" s="6" t="s">
        <v>104</v>
      </c>
      <c r="C80" s="51">
        <f>'Assumptions &amp; Budget'!C86</f>
        <v>94.566193548387105</v>
      </c>
      <c r="D80" s="51">
        <f>'Assumptions &amp; Budget'!D86</f>
        <v>94.566193548387105</v>
      </c>
      <c r="E80" s="51">
        <f>'Assumptions &amp; Budget'!E86</f>
        <v>94.566193548387105</v>
      </c>
      <c r="F80" s="51">
        <f>'Assumptions &amp; Budget'!F86</f>
        <v>98.203354838709686</v>
      </c>
      <c r="G80" s="51">
        <f>'Assumptions &amp; Budget'!G86</f>
        <v>98.203354838709686</v>
      </c>
      <c r="H80" s="51">
        <f>'Assumptions &amp; Budget'!H86</f>
        <v>98.203354838709686</v>
      </c>
      <c r="I80" s="51">
        <f>'Assumptions &amp; Budget'!I86</f>
        <v>98.203354838709686</v>
      </c>
      <c r="J80" s="51">
        <f>'Assumptions &amp; Budget'!J86</f>
        <v>98.203354838709686</v>
      </c>
      <c r="K80" s="51">
        <f>'Assumptions &amp; Budget'!K86</f>
        <v>98.203354838709686</v>
      </c>
      <c r="L80" s="51">
        <f>'Assumptions &amp; Budget'!L86</f>
        <v>98.203354838709686</v>
      </c>
      <c r="M80" s="51">
        <f>'Assumptions &amp; Budget'!M86</f>
        <v>98.203354838709686</v>
      </c>
      <c r="N80" s="51">
        <f>'Assumptions &amp; Budget'!N86</f>
        <v>98.203354838709686</v>
      </c>
      <c r="O80" s="19">
        <f t="shared" si="22"/>
        <v>578.30864516129031</v>
      </c>
    </row>
    <row r="81" spans="1:16" x14ac:dyDescent="0.35">
      <c r="A81" s="5" t="s">
        <v>125</v>
      </c>
      <c r="B81" s="6" t="s">
        <v>104</v>
      </c>
      <c r="C81" s="51">
        <f>'Assumptions &amp; Budget'!C87</f>
        <v>52.210666666666683</v>
      </c>
      <c r="D81" s="51">
        <f>'Assumptions &amp; Budget'!D87</f>
        <v>52.210666666666683</v>
      </c>
      <c r="E81" s="51">
        <f>'Assumptions &amp; Budget'!E87</f>
        <v>52.210666666666683</v>
      </c>
      <c r="F81" s="51">
        <f>'Assumptions &amp; Budget'!F87</f>
        <v>52.210666666666683</v>
      </c>
      <c r="G81" s="51">
        <f>'Assumptions &amp; Budget'!G87</f>
        <v>52.210666666666683</v>
      </c>
      <c r="H81" s="51">
        <f>'Assumptions &amp; Budget'!H87</f>
        <v>52.210666666666683</v>
      </c>
      <c r="I81" s="51">
        <f>'Assumptions &amp; Budget'!I87</f>
        <v>52.210666666666683</v>
      </c>
      <c r="J81" s="51">
        <f>'Assumptions &amp; Budget'!J87</f>
        <v>52.210666666666683</v>
      </c>
      <c r="K81" s="51">
        <f>'Assumptions &amp; Budget'!K87</f>
        <v>52.210666666666683</v>
      </c>
      <c r="L81" s="51">
        <f>'Assumptions &amp; Budget'!L87</f>
        <v>52.210666666666683</v>
      </c>
      <c r="M81" s="51">
        <f>'Assumptions &amp; Budget'!M87</f>
        <v>52.210666666666683</v>
      </c>
      <c r="N81" s="51">
        <f>'Assumptions &amp; Budget'!N87</f>
        <v>52.210666666666683</v>
      </c>
      <c r="O81" s="19">
        <f t="shared" si="22"/>
        <v>313.26400000000007</v>
      </c>
    </row>
    <row r="82" spans="1:16" x14ac:dyDescent="0.35">
      <c r="A82" s="32" t="s">
        <v>126</v>
      </c>
      <c r="B82" s="33" t="s">
        <v>104</v>
      </c>
      <c r="C82" s="50">
        <f>'Assumptions &amp; Budget'!C88</f>
        <v>146.77686021505377</v>
      </c>
      <c r="D82" s="50">
        <f>'Assumptions &amp; Budget'!D88</f>
        <v>146.77686021505377</v>
      </c>
      <c r="E82" s="50">
        <f>'Assumptions &amp; Budget'!E88</f>
        <v>146.77686021505377</v>
      </c>
      <c r="F82" s="50">
        <f>'Assumptions &amp; Budget'!F88</f>
        <v>150.41402150537635</v>
      </c>
      <c r="G82" s="50">
        <f>'Assumptions &amp; Budget'!G88</f>
        <v>150.41402150537635</v>
      </c>
      <c r="H82" s="50">
        <f>'Assumptions &amp; Budget'!H88</f>
        <v>150.41402150537635</v>
      </c>
      <c r="I82" s="50">
        <f>'Assumptions &amp; Budget'!I88</f>
        <v>150.41402150537635</v>
      </c>
      <c r="J82" s="50">
        <f>'Assumptions &amp; Budget'!J88</f>
        <v>150.41402150537635</v>
      </c>
      <c r="K82" s="50">
        <f>'Assumptions &amp; Budget'!K88</f>
        <v>150.41402150537635</v>
      </c>
      <c r="L82" s="50">
        <f>'Assumptions &amp; Budget'!L88</f>
        <v>150.41402150537635</v>
      </c>
      <c r="M82" s="50">
        <f>'Assumptions &amp; Budget'!M88</f>
        <v>150.41402150537635</v>
      </c>
      <c r="N82" s="50">
        <f>'Assumptions &amp; Budget'!N88</f>
        <v>150.41402150537635</v>
      </c>
      <c r="O82" s="34">
        <f t="shared" si="22"/>
        <v>891.57264516129044</v>
      </c>
      <c r="P82" s="56"/>
    </row>
    <row r="83" spans="1:16" x14ac:dyDescent="0.35">
      <c r="A83" s="5" t="s">
        <v>127</v>
      </c>
      <c r="B83" s="6" t="s">
        <v>104</v>
      </c>
      <c r="C83" s="51">
        <f>'Assumptions &amp; Budget'!C89</f>
        <v>39.311999999999991</v>
      </c>
      <c r="D83" s="51">
        <f>'Assumptions &amp; Budget'!D89</f>
        <v>39.311999999999991</v>
      </c>
      <c r="E83" s="51">
        <f>'Assumptions &amp; Budget'!E89</f>
        <v>39.311999999999991</v>
      </c>
      <c r="F83" s="51">
        <f>'Assumptions &amp; Budget'!F89</f>
        <v>39.311999999999991</v>
      </c>
      <c r="G83" s="51">
        <f>'Assumptions &amp; Budget'!G89</f>
        <v>39.311999999999991</v>
      </c>
      <c r="H83" s="51">
        <f>'Assumptions &amp; Budget'!H89</f>
        <v>39.311999999999991</v>
      </c>
      <c r="I83" s="51">
        <f>'Assumptions &amp; Budget'!I89</f>
        <v>40.622399999999992</v>
      </c>
      <c r="J83" s="51">
        <f>'Assumptions &amp; Budget'!J89</f>
        <v>40.622399999999992</v>
      </c>
      <c r="K83" s="51">
        <f>'Assumptions &amp; Budget'!K89</f>
        <v>40.622399999999992</v>
      </c>
      <c r="L83" s="51">
        <f>'Assumptions &amp; Budget'!L89</f>
        <v>40.622399999999992</v>
      </c>
      <c r="M83" s="51">
        <f>'Assumptions &amp; Budget'!M89</f>
        <v>40.622399999999992</v>
      </c>
      <c r="N83" s="51">
        <f>'Assumptions &amp; Budget'!N89</f>
        <v>40.622399999999992</v>
      </c>
      <c r="O83" s="19">
        <f t="shared" si="22"/>
        <v>235.87199999999993</v>
      </c>
    </row>
    <row r="84" spans="1:16" x14ac:dyDescent="0.35">
      <c r="A84" s="5" t="s">
        <v>128</v>
      </c>
      <c r="B84" s="6" t="s">
        <v>104</v>
      </c>
      <c r="C84" s="51">
        <f>'Assumptions &amp; Budget'!C90</f>
        <v>62.071833333333345</v>
      </c>
      <c r="D84" s="51">
        <f>'Assumptions &amp; Budget'!D90</f>
        <v>62.071833333333345</v>
      </c>
      <c r="E84" s="51">
        <f>'Assumptions &amp; Budget'!E90</f>
        <v>62.071833333333345</v>
      </c>
      <c r="F84" s="51">
        <f>'Assumptions &amp; Budget'!F90</f>
        <v>62.071833333333345</v>
      </c>
      <c r="G84" s="51">
        <f>'Assumptions &amp; Budget'!G90</f>
        <v>62.071833333333345</v>
      </c>
      <c r="H84" s="51">
        <f>'Assumptions &amp; Budget'!H90</f>
        <v>62.071833333333345</v>
      </c>
      <c r="I84" s="51">
        <f>'Assumptions &amp; Budget'!I90</f>
        <v>62.071833333333345</v>
      </c>
      <c r="J84" s="51">
        <f>'Assumptions &amp; Budget'!J90</f>
        <v>62.071833333333345</v>
      </c>
      <c r="K84" s="51">
        <f>'Assumptions &amp; Budget'!K90</f>
        <v>62.071833333333345</v>
      </c>
      <c r="L84" s="51">
        <f>'Assumptions &amp; Budget'!L90</f>
        <v>62.071833333333345</v>
      </c>
      <c r="M84" s="51">
        <f>'Assumptions &amp; Budget'!M90</f>
        <v>62.071833333333345</v>
      </c>
      <c r="N84" s="51">
        <f>'Assumptions &amp; Budget'!N90</f>
        <v>62.071833333333345</v>
      </c>
      <c r="O84" s="19">
        <f t="shared" si="22"/>
        <v>372.4310000000001</v>
      </c>
    </row>
    <row r="85" spans="1:16" x14ac:dyDescent="0.35">
      <c r="A85" s="32" t="s">
        <v>129</v>
      </c>
      <c r="B85" s="33" t="s">
        <v>104</v>
      </c>
      <c r="C85" s="50">
        <f>'Assumptions &amp; Budget'!C91</f>
        <v>101.38383333333334</v>
      </c>
      <c r="D85" s="50">
        <f>'Assumptions &amp; Budget'!D91</f>
        <v>101.38383333333334</v>
      </c>
      <c r="E85" s="50">
        <f>'Assumptions &amp; Budget'!E91</f>
        <v>101.38383333333334</v>
      </c>
      <c r="F85" s="50">
        <f>'Assumptions &amp; Budget'!F91</f>
        <v>101.38383333333334</v>
      </c>
      <c r="G85" s="50">
        <f>'Assumptions &amp; Budget'!G91</f>
        <v>101.38383333333334</v>
      </c>
      <c r="H85" s="50">
        <f>'Assumptions &amp; Budget'!H91</f>
        <v>101.38383333333334</v>
      </c>
      <c r="I85" s="50">
        <f>'Assumptions &amp; Budget'!I91</f>
        <v>102.69423333333333</v>
      </c>
      <c r="J85" s="50">
        <f>'Assumptions &amp; Budget'!J91</f>
        <v>102.69423333333333</v>
      </c>
      <c r="K85" s="50">
        <f>'Assumptions &amp; Budget'!K91</f>
        <v>102.69423333333333</v>
      </c>
      <c r="L85" s="50">
        <f>'Assumptions &amp; Budget'!L91</f>
        <v>102.69423333333333</v>
      </c>
      <c r="M85" s="50">
        <f>'Assumptions &amp; Budget'!M91</f>
        <v>102.69423333333333</v>
      </c>
      <c r="N85" s="50">
        <f>'Assumptions &amp; Budget'!N91</f>
        <v>102.69423333333333</v>
      </c>
      <c r="O85" s="34">
        <f t="shared" si="22"/>
        <v>608.303</v>
      </c>
      <c r="P85" s="56"/>
    </row>
    <row r="86" spans="1:16" x14ac:dyDescent="0.35">
      <c r="A86" s="32" t="s">
        <v>131</v>
      </c>
      <c r="B86" s="33" t="s">
        <v>104</v>
      </c>
      <c r="C86" s="50">
        <f>'Assumptions &amp; Budget'!C93</f>
        <v>2052.9991675093088</v>
      </c>
      <c r="D86" s="50">
        <f>'Assumptions &amp; Budget'!D93</f>
        <v>2056.6525857656338</v>
      </c>
      <c r="E86" s="50">
        <f>'Assumptions &amp; Budget'!E93</f>
        <v>2013.2795016306534</v>
      </c>
      <c r="F86" s="50">
        <f>'Assumptions &amp; Budget'!F93</f>
        <v>1991.841605111536</v>
      </c>
      <c r="G86" s="50">
        <f>'Assumptions &amp; Budget'!G93</f>
        <v>2074.1172145628721</v>
      </c>
      <c r="H86" s="50">
        <f>'Assumptions &amp; Budget'!H93</f>
        <v>2159.1660937321149</v>
      </c>
      <c r="I86" s="50">
        <f>'Assumptions &amp; Budget'!I93</f>
        <v>2481.072319579765</v>
      </c>
      <c r="J86" s="50">
        <f>'Assumptions &amp; Budget'!J93</f>
        <v>2406.4020615927743</v>
      </c>
      <c r="K86" s="50">
        <f>'Assumptions &amp; Budget'!K93</f>
        <v>2254.4795689920938</v>
      </c>
      <c r="L86" s="50">
        <f>'Assumptions &amp; Budget'!L93</f>
        <v>2180.0401830719793</v>
      </c>
      <c r="M86" s="50">
        <f>'Assumptions &amp; Budget'!M93</f>
        <v>2104.0313324088975</v>
      </c>
      <c r="N86" s="50">
        <f>'Assumptions &amp; Budget'!N93</f>
        <v>2155.8905097953389</v>
      </c>
      <c r="O86" s="34">
        <f t="shared" si="22"/>
        <v>12348.05616831212</v>
      </c>
      <c r="P86" s="56"/>
    </row>
    <row r="87" spans="1:16" x14ac:dyDescent="0.35">
      <c r="A87" s="32" t="s">
        <v>132</v>
      </c>
      <c r="B87" s="33" t="s">
        <v>104</v>
      </c>
      <c r="C87" s="50">
        <f>'Assumptions &amp; Budget'!C94</f>
        <v>382.61300337385137</v>
      </c>
      <c r="D87" s="50">
        <f>'Assumptions &amp; Budget'!D94</f>
        <v>386.26642163017596</v>
      </c>
      <c r="E87" s="50">
        <f>'Assumptions &amp; Budget'!E94</f>
        <v>359.59201759519624</v>
      </c>
      <c r="F87" s="50">
        <f>'Assumptions &amp; Budget'!F94</f>
        <v>336.40961272017512</v>
      </c>
      <c r="G87" s="50">
        <f>'Assumptions &amp; Budget'!G94</f>
        <v>390.85408867151136</v>
      </c>
      <c r="H87" s="50">
        <f>'Assumptions &amp; Budget'!H94</f>
        <v>443.32466115639727</v>
      </c>
      <c r="I87" s="50">
        <f>'Assumptions &amp; Budget'!I94</f>
        <v>651.28555300404832</v>
      </c>
      <c r="J87" s="50">
        <f>'Assumptions &amp; Budget'!J94</f>
        <v>604.44642851705748</v>
      </c>
      <c r="K87" s="50">
        <f>'Assumptions &amp; Budget'!K94</f>
        <v>502.80311566805449</v>
      </c>
      <c r="L87" s="50">
        <f>'Assumptions &amp; Budget'!L94</f>
        <v>453.82127665576172</v>
      </c>
      <c r="M87" s="50">
        <f>'Assumptions &amp; Budget'!M94</f>
        <v>405.64355949267974</v>
      </c>
      <c r="N87" s="50">
        <f>'Assumptions &amp; Budget'!N94</f>
        <v>440.8040567791204</v>
      </c>
      <c r="O87" s="34">
        <f t="shared" si="22"/>
        <v>2299.0598051473071</v>
      </c>
      <c r="P87" s="56"/>
    </row>
    <row r="89" spans="1:16" x14ac:dyDescent="0.35">
      <c r="A89" s="7" t="s">
        <v>248</v>
      </c>
      <c r="B89" s="8"/>
      <c r="C89" s="8"/>
      <c r="D89" s="8"/>
      <c r="E89" s="8"/>
      <c r="F89" s="8"/>
      <c r="G89" s="8"/>
      <c r="H89" s="8"/>
      <c r="I89" s="8"/>
      <c r="J89" s="8"/>
      <c r="K89" s="8"/>
      <c r="L89" s="8"/>
      <c r="M89" s="8"/>
      <c r="N89" s="8"/>
      <c r="O89" s="8"/>
      <c r="P89" s="8"/>
    </row>
    <row r="90" spans="1:16" x14ac:dyDescent="0.35">
      <c r="A90" s="5" t="s">
        <v>249</v>
      </c>
      <c r="C90" s="21">
        <f t="shared" ref="C90:N90" si="23">IF(C13=0,1,C13/C63)</f>
        <v>1.0101441812502854</v>
      </c>
      <c r="D90" s="21">
        <f t="shared" si="23"/>
        <v>0.98869685429921572</v>
      </c>
      <c r="E90" s="21">
        <f t="shared" si="23"/>
        <v>1.0242196940830999</v>
      </c>
      <c r="F90" s="21">
        <f t="shared" si="23"/>
        <v>1.0120564112469057</v>
      </c>
      <c r="G90" s="21">
        <f t="shared" si="23"/>
        <v>1.0065742894387257</v>
      </c>
      <c r="H90" s="21">
        <f t="shared" si="23"/>
        <v>1.013240130865696</v>
      </c>
      <c r="I90" s="21">
        <f t="shared" si="23"/>
        <v>1</v>
      </c>
      <c r="J90" s="21">
        <f t="shared" si="23"/>
        <v>1</v>
      </c>
      <c r="K90" s="21">
        <f t="shared" si="23"/>
        <v>1</v>
      </c>
      <c r="L90" s="21">
        <f t="shared" si="23"/>
        <v>1</v>
      </c>
      <c r="M90" s="21">
        <f t="shared" si="23"/>
        <v>1</v>
      </c>
      <c r="N90" s="21">
        <f t="shared" si="23"/>
        <v>1</v>
      </c>
    </row>
    <row r="91" spans="1:16" x14ac:dyDescent="0.35">
      <c r="A91" s="5" t="s">
        <v>250</v>
      </c>
      <c r="C91" s="21">
        <f t="shared" ref="C91:N91" si="24">IF(C10=0,1,C10/C61)</f>
        <v>1.0120093755953079</v>
      </c>
      <c r="D91" s="21">
        <f t="shared" si="24"/>
        <v>0.99678989807077312</v>
      </c>
      <c r="E91" s="21">
        <f t="shared" si="24"/>
        <v>1.0237407003217891</v>
      </c>
      <c r="F91" s="21">
        <f t="shared" si="24"/>
        <v>1.0224898902524686</v>
      </c>
      <c r="G91" s="21">
        <f t="shared" si="24"/>
        <v>1.0202952942839152</v>
      </c>
      <c r="H91" s="21">
        <f t="shared" si="24"/>
        <v>1.0238060994313896</v>
      </c>
      <c r="I91" s="21">
        <f t="shared" si="24"/>
        <v>1</v>
      </c>
      <c r="J91" s="21">
        <f t="shared" si="24"/>
        <v>1</v>
      </c>
      <c r="K91" s="21">
        <f t="shared" si="24"/>
        <v>1</v>
      </c>
      <c r="L91" s="21">
        <f t="shared" si="24"/>
        <v>1</v>
      </c>
      <c r="M91" s="21">
        <f t="shared" si="24"/>
        <v>1</v>
      </c>
      <c r="N91" s="21">
        <f t="shared" si="24"/>
        <v>1</v>
      </c>
    </row>
    <row r="92" spans="1:16" x14ac:dyDescent="0.35">
      <c r="A92" s="32" t="s">
        <v>103</v>
      </c>
      <c r="B92" s="33" t="s">
        <v>104</v>
      </c>
      <c r="C92" s="34">
        <f t="shared" ref="C92:N92" si="25">C63</f>
        <v>3529.87271142487</v>
      </c>
      <c r="D92" s="34">
        <f t="shared" si="25"/>
        <v>3540.4623295591446</v>
      </c>
      <c r="E92" s="34">
        <f t="shared" si="25"/>
        <v>3438.9442307621007</v>
      </c>
      <c r="F92" s="34">
        <f t="shared" si="25"/>
        <v>3374.2771272923355</v>
      </c>
      <c r="G92" s="34">
        <f t="shared" si="25"/>
        <v>3572.4221786005564</v>
      </c>
      <c r="H92" s="34">
        <f t="shared" si="25"/>
        <v>3771.7257317224817</v>
      </c>
      <c r="I92" s="34">
        <f t="shared" si="25"/>
        <v>4539.6490907011794</v>
      </c>
      <c r="J92" s="34">
        <f t="shared" si="25"/>
        <v>4363.5485363910611</v>
      </c>
      <c r="K92" s="34">
        <f t="shared" si="25"/>
        <v>3996.0618618263024</v>
      </c>
      <c r="L92" s="34">
        <f t="shared" si="25"/>
        <v>3817.1905213445521</v>
      </c>
      <c r="M92" s="34">
        <f t="shared" si="25"/>
        <v>3637.209988263156</v>
      </c>
      <c r="N92" s="34">
        <f t="shared" si="25"/>
        <v>3763.3254588035643</v>
      </c>
      <c r="O92" s="34">
        <f t="shared" ref="O92:O116" si="26">SUMIFS($C92:$N92,$C$5:$N$5,"&lt;="&amp;$C$3)</f>
        <v>21227.704309361488</v>
      </c>
      <c r="P92" s="56"/>
    </row>
    <row r="93" spans="1:16" x14ac:dyDescent="0.35">
      <c r="A93" s="5" t="s">
        <v>105</v>
      </c>
      <c r="B93" s="6" t="s">
        <v>104</v>
      </c>
      <c r="C93" s="19">
        <f>C64*IF('Assumptions &amp; Budget'!$E$44="Revenue",C$90,IF('Assumptions &amp; Budget'!$E$44="Orders",C$91,1))</f>
        <v>1105.3609178000002</v>
      </c>
      <c r="D93" s="19">
        <f>D64*IF('Assumptions &amp; Budget'!$E$44="Revenue",D$90,IF('Assumptions &amp; Budget'!$E$44="Orders",D$91,1))</f>
        <v>1085.13763008</v>
      </c>
      <c r="E93" s="19">
        <f>E64*IF('Assumptions &amp; Budget'!$E$44="Revenue",E$90,IF('Assumptions &amp; Budget'!$E$44="Orders",E$91,1))</f>
        <v>1091.8926664800001</v>
      </c>
      <c r="F93" s="19">
        <f>F64*IF('Assumptions &amp; Budget'!$E$44="Revenue",F$90,IF('Assumptions &amp; Budget'!$E$44="Orders",F$91,1))</f>
        <v>1058.6372280000001</v>
      </c>
      <c r="G93" s="19">
        <f>G64*IF('Assumptions &amp; Budget'!$E$44="Revenue",G$90,IF('Assumptions &amp; Budget'!$E$44="Orders",G$91,1))</f>
        <v>1114.7315779600001</v>
      </c>
      <c r="H93" s="19">
        <f>H64*IF('Assumptions &amp; Budget'!$E$44="Revenue",H$90,IF('Assumptions &amp; Budget'!$E$44="Orders",H$91,1))</f>
        <v>1184.7158009400002</v>
      </c>
      <c r="I93" s="19">
        <f>I64*IF('Assumptions &amp; Budget'!$E$44="Revenue",I$90,IF('Assumptions &amp; Budget'!$E$44="Orders",I$91,1))</f>
        <v>1407.2912181173658</v>
      </c>
      <c r="J93" s="19">
        <f>J64*IF('Assumptions &amp; Budget'!$E$44="Revenue",J$90,IF('Assumptions &amp; Budget'!$E$44="Orders",J$91,1))</f>
        <v>1352.7000462812291</v>
      </c>
      <c r="K93" s="19">
        <f>K64*IF('Assumptions &amp; Budget'!$E$44="Revenue",K$90,IF('Assumptions &amp; Budget'!$E$44="Orders",K$91,1))</f>
        <v>1238.7791771661539</v>
      </c>
      <c r="L93" s="19">
        <f>L64*IF('Assumptions &amp; Budget'!$E$44="Revenue",L$90,IF('Assumptions &amp; Budget'!$E$44="Orders",L$91,1))</f>
        <v>1183.3290616168113</v>
      </c>
      <c r="M93" s="19">
        <f>M64*IF('Assumptions &amp; Budget'!$E$44="Revenue",M$90,IF('Assumptions &amp; Budget'!$E$44="Orders",M$91,1))</f>
        <v>1127.5350963615786</v>
      </c>
      <c r="N93" s="19">
        <f>N64*IF('Assumptions &amp; Budget'!$E$44="Revenue",N$90,IF('Assumptions &amp; Budget'!$E$44="Orders",N$91,1))</f>
        <v>1166.630892229105</v>
      </c>
      <c r="O93" s="19">
        <f t="shared" si="26"/>
        <v>6640.4758212600009</v>
      </c>
    </row>
    <row r="94" spans="1:16" x14ac:dyDescent="0.35">
      <c r="A94" s="32" t="s">
        <v>106</v>
      </c>
      <c r="B94" s="33" t="s">
        <v>104</v>
      </c>
      <c r="C94" s="34">
        <f t="shared" ref="C94:N94" si="27">C92-C93</f>
        <v>2424.5117936248698</v>
      </c>
      <c r="D94" s="34">
        <f t="shared" si="27"/>
        <v>2455.3246994791443</v>
      </c>
      <c r="E94" s="34">
        <f t="shared" si="27"/>
        <v>2347.0515642821006</v>
      </c>
      <c r="F94" s="34">
        <f t="shared" si="27"/>
        <v>2315.6398992923355</v>
      </c>
      <c r="G94" s="34">
        <f t="shared" si="27"/>
        <v>2457.6906006405561</v>
      </c>
      <c r="H94" s="34">
        <f t="shared" si="27"/>
        <v>2587.0099307824812</v>
      </c>
      <c r="I94" s="34">
        <f t="shared" si="27"/>
        <v>3132.3578725838133</v>
      </c>
      <c r="J94" s="34">
        <f t="shared" si="27"/>
        <v>3010.8484901098318</v>
      </c>
      <c r="K94" s="34">
        <f t="shared" si="27"/>
        <v>2757.2826846601483</v>
      </c>
      <c r="L94" s="34">
        <f t="shared" si="27"/>
        <v>2633.861459727741</v>
      </c>
      <c r="M94" s="34">
        <f t="shared" si="27"/>
        <v>2509.6748919015772</v>
      </c>
      <c r="N94" s="34">
        <f t="shared" si="27"/>
        <v>2596.6945665744593</v>
      </c>
      <c r="O94" s="34">
        <f t="shared" si="26"/>
        <v>14587.228488101489</v>
      </c>
      <c r="P94" s="56"/>
    </row>
    <row r="95" spans="1:16" x14ac:dyDescent="0.35">
      <c r="A95" s="5" t="s">
        <v>110</v>
      </c>
      <c r="B95" s="6" t="s">
        <v>104</v>
      </c>
      <c r="C95" s="19">
        <f>C66*IF('Assumptions &amp; Budget'!$E$45="Revenue",C$90,IF('Assumptions &amp; Budget'!$E$45="Orders",C$91,1))</f>
        <v>71.207597765363147</v>
      </c>
      <c r="D95" s="19">
        <f>D66*IF('Assumptions &amp; Budget'!$E$45="Revenue",D$90,IF('Assumptions &amp; Budget'!$E$45="Orders",D$91,1))</f>
        <v>71.207597765363147</v>
      </c>
      <c r="E95" s="19">
        <f>E66*IF('Assumptions &amp; Budget'!$E$45="Revenue",E$90,IF('Assumptions &amp; Budget'!$E$45="Orders",E$91,1))</f>
        <v>71.207597765363147</v>
      </c>
      <c r="F95" s="19">
        <f>F66*IF('Assumptions &amp; Budget'!$E$45="Revenue",F$90,IF('Assumptions &amp; Budget'!$E$45="Orders",F$91,1))</f>
        <v>71.207597765363147</v>
      </c>
      <c r="G95" s="19">
        <f>G66*IF('Assumptions &amp; Budget'!$E$45="Revenue",G$90,IF('Assumptions &amp; Budget'!$E$45="Orders",G$91,1))</f>
        <v>71.207597765363147</v>
      </c>
      <c r="H95" s="19">
        <f>H66*IF('Assumptions &amp; Budget'!$E$45="Revenue",H$90,IF('Assumptions &amp; Budget'!$E$45="Orders",H$91,1))</f>
        <v>73.581184357541915</v>
      </c>
      <c r="I95" s="19">
        <f>I66*IF('Assumptions &amp; Budget'!$E$45="Revenue",I$90,IF('Assumptions &amp; Budget'!$E$45="Orders",I$91,1))</f>
        <v>73.581184357541915</v>
      </c>
      <c r="J95" s="19">
        <f>J66*IF('Assumptions &amp; Budget'!$E$45="Revenue",J$90,IF('Assumptions &amp; Budget'!$E$45="Orders",J$91,1))</f>
        <v>73.581184357541915</v>
      </c>
      <c r="K95" s="19">
        <f>K66*IF('Assumptions &amp; Budget'!$E$45="Revenue",K$90,IF('Assumptions &amp; Budget'!$E$45="Orders",K$91,1))</f>
        <v>73.581184357541915</v>
      </c>
      <c r="L95" s="19">
        <f>L66*IF('Assumptions &amp; Budget'!$E$45="Revenue",L$90,IF('Assumptions &amp; Budget'!$E$45="Orders",L$91,1))</f>
        <v>74.767977653631291</v>
      </c>
      <c r="M95" s="19">
        <f>M66*IF('Assumptions &amp; Budget'!$E$45="Revenue",M$90,IF('Assumptions &amp; Budget'!$E$45="Orders",M$91,1))</f>
        <v>74.767977653631291</v>
      </c>
      <c r="N95" s="19">
        <f>N66*IF('Assumptions &amp; Budget'!$E$45="Revenue",N$90,IF('Assumptions &amp; Budget'!$E$45="Orders",N$91,1))</f>
        <v>74.767977653631291</v>
      </c>
      <c r="O95" s="19">
        <f t="shared" si="26"/>
        <v>429.61917318435769</v>
      </c>
    </row>
    <row r="96" spans="1:16" x14ac:dyDescent="0.35">
      <c r="A96" s="5" t="s">
        <v>111</v>
      </c>
      <c r="B96" s="6" t="s">
        <v>104</v>
      </c>
      <c r="C96" s="19">
        <f>C67*IF('Assumptions &amp; Budget'!$E$46="Revenue",C$90,IF('Assumptions &amp; Budget'!$E$46="Orders",C$91,1))</f>
        <v>106.97041139999999</v>
      </c>
      <c r="D96" s="19">
        <f>D67*IF('Assumptions &amp; Budget'!$E$46="Revenue",D$90,IF('Assumptions &amp; Budget'!$E$46="Orders",D$91,1))</f>
        <v>105.01331903999998</v>
      </c>
      <c r="E96" s="19">
        <f>E67*IF('Assumptions &amp; Budget'!$E$46="Revenue",E$90,IF('Assumptions &amp; Budget'!$E$46="Orders",E$91,1))</f>
        <v>105.66703224</v>
      </c>
      <c r="F96" s="19">
        <f>F67*IF('Assumptions &amp; Budget'!$E$46="Revenue",F$90,IF('Assumptions &amp; Budget'!$E$46="Orders",F$91,1))</f>
        <v>102.44876399999998</v>
      </c>
      <c r="G96" s="19">
        <f>G67*IF('Assumptions &amp; Budget'!$E$46="Revenue",G$90,IF('Assumptions &amp; Budget'!$E$46="Orders",G$91,1))</f>
        <v>107.87724947999999</v>
      </c>
      <c r="H96" s="19">
        <f>H67*IF('Assumptions &amp; Budget'!$E$46="Revenue",H$90,IF('Assumptions &amp; Budget'!$E$46="Orders",H$91,1))</f>
        <v>114.64991622000001</v>
      </c>
      <c r="I96" s="19">
        <f>I67*IF('Assumptions &amp; Budget'!$E$46="Revenue",I$90,IF('Assumptions &amp; Budget'!$E$46="Orders",I$91,1))</f>
        <v>136.18947272103537</v>
      </c>
      <c r="J96" s="19">
        <f>J67*IF('Assumptions &amp; Budget'!$E$46="Revenue",J$90,IF('Assumptions &amp; Budget'!$E$46="Orders",J$91,1))</f>
        <v>130.90645609173183</v>
      </c>
      <c r="K96" s="19">
        <f>K67*IF('Assumptions &amp; Budget'!$E$46="Revenue",K$90,IF('Assumptions &amp; Budget'!$E$46="Orders",K$91,1))</f>
        <v>119.88185585478907</v>
      </c>
      <c r="L96" s="19">
        <f>L67*IF('Assumptions &amp; Budget'!$E$46="Revenue",L$90,IF('Assumptions &amp; Budget'!$E$46="Orders",L$91,1))</f>
        <v>114.51571564033655</v>
      </c>
      <c r="M96" s="19">
        <f>M67*IF('Assumptions &amp; Budget'!$E$46="Revenue",M$90,IF('Assumptions &amp; Budget'!$E$46="Orders",M$91,1))</f>
        <v>109.11629964789468</v>
      </c>
      <c r="N96" s="19">
        <f>N67*IF('Assumptions &amp; Budget'!$E$46="Revenue",N$90,IF('Assumptions &amp; Budget'!$E$46="Orders",N$91,1))</f>
        <v>112.89976376410692</v>
      </c>
      <c r="O96" s="19">
        <f t="shared" si="26"/>
        <v>642.62669237999989</v>
      </c>
    </row>
    <row r="97" spans="1:16" x14ac:dyDescent="0.35">
      <c r="A97" s="32" t="s">
        <v>112</v>
      </c>
      <c r="B97" s="33" t="s">
        <v>104</v>
      </c>
      <c r="C97" s="34">
        <f t="shared" ref="C97:N97" si="28">C95+C96</f>
        <v>178.17800916536314</v>
      </c>
      <c r="D97" s="34">
        <f t="shared" si="28"/>
        <v>176.22091680536312</v>
      </c>
      <c r="E97" s="34">
        <f t="shared" si="28"/>
        <v>176.87463000536314</v>
      </c>
      <c r="F97" s="34">
        <f t="shared" si="28"/>
        <v>173.65636176536313</v>
      </c>
      <c r="G97" s="34">
        <f t="shared" si="28"/>
        <v>179.08484724536314</v>
      </c>
      <c r="H97" s="34">
        <f t="shared" si="28"/>
        <v>188.23110057754192</v>
      </c>
      <c r="I97" s="34">
        <f t="shared" si="28"/>
        <v>209.7706570785773</v>
      </c>
      <c r="J97" s="34">
        <f t="shared" si="28"/>
        <v>204.48764044927373</v>
      </c>
      <c r="K97" s="34">
        <f t="shared" si="28"/>
        <v>193.46304021233098</v>
      </c>
      <c r="L97" s="34">
        <f t="shared" si="28"/>
        <v>189.28369329396784</v>
      </c>
      <c r="M97" s="34">
        <f t="shared" si="28"/>
        <v>183.88427730152597</v>
      </c>
      <c r="N97" s="34">
        <f t="shared" si="28"/>
        <v>187.66774141773823</v>
      </c>
      <c r="O97" s="34">
        <f t="shared" si="26"/>
        <v>1072.2458655643577</v>
      </c>
      <c r="P97" s="56"/>
    </row>
    <row r="98" spans="1:16" x14ac:dyDescent="0.35">
      <c r="A98" s="5" t="s">
        <v>113</v>
      </c>
      <c r="B98" s="6" t="s">
        <v>104</v>
      </c>
      <c r="C98" s="19">
        <f>C69*IF('Assumptions &amp; Budget'!$E$47="Revenue",C$90,IF('Assumptions &amp; Budget'!$E$47="Orders",C$91,1))</f>
        <v>100.93288590604027</v>
      </c>
      <c r="D98" s="19">
        <f>D69*IF('Assumptions &amp; Budget'!$E$47="Revenue",D$90,IF('Assumptions &amp; Budget'!$E$47="Orders",D$91,1))</f>
        <v>100.93288590604027</v>
      </c>
      <c r="E98" s="19">
        <f>E69*IF('Assumptions &amp; Budget'!$E$47="Revenue",E$90,IF('Assumptions &amp; Budget'!$E$47="Orders",E$91,1))</f>
        <v>100.93288590604027</v>
      </c>
      <c r="F98" s="19">
        <f>F69*IF('Assumptions &amp; Budget'!$E$47="Revenue",F$90,IF('Assumptions &amp; Budget'!$E$47="Orders",F$91,1))</f>
        <v>100.93288590604027</v>
      </c>
      <c r="G98" s="19">
        <f>G69*IF('Assumptions &amp; Budget'!$E$47="Revenue",G$90,IF('Assumptions &amp; Budget'!$E$47="Orders",G$91,1))</f>
        <v>100.93288590604027</v>
      </c>
      <c r="H98" s="19">
        <f>H69*IF('Assumptions &amp; Budget'!$E$47="Revenue",H$90,IF('Assumptions &amp; Budget'!$E$47="Orders",H$91,1))</f>
        <v>100.93288590604027</v>
      </c>
      <c r="I98" s="19">
        <f>I69*IF('Assumptions &amp; Budget'!$E$47="Revenue",I$90,IF('Assumptions &amp; Budget'!$E$47="Orders",I$91,1))</f>
        <v>100.93288590604027</v>
      </c>
      <c r="J98" s="19">
        <f>J69*IF('Assumptions &amp; Budget'!$E$47="Revenue",J$90,IF('Assumptions &amp; Budget'!$E$47="Orders",J$91,1))</f>
        <v>100.93288590604027</v>
      </c>
      <c r="K98" s="19">
        <f>K69*IF('Assumptions &amp; Budget'!$E$47="Revenue",K$90,IF('Assumptions &amp; Budget'!$E$47="Orders",K$91,1))</f>
        <v>103.62442953020134</v>
      </c>
      <c r="L98" s="19">
        <f>L69*IF('Assumptions &amp; Budget'!$E$47="Revenue",L$90,IF('Assumptions &amp; Budget'!$E$47="Orders",L$91,1))</f>
        <v>103.62442953020134</v>
      </c>
      <c r="M98" s="19">
        <f>M69*IF('Assumptions &amp; Budget'!$E$47="Revenue",M$90,IF('Assumptions &amp; Budget'!$E$47="Orders",M$91,1))</f>
        <v>103.62442953020134</v>
      </c>
      <c r="N98" s="19">
        <f>N69*IF('Assumptions &amp; Budget'!$E$47="Revenue",N$90,IF('Assumptions &amp; Budget'!$E$47="Orders",N$91,1))</f>
        <v>103.62442953020134</v>
      </c>
      <c r="O98" s="19">
        <f t="shared" si="26"/>
        <v>605.59731543624162</v>
      </c>
    </row>
    <row r="99" spans="1:16" x14ac:dyDescent="0.35">
      <c r="A99" s="5" t="s">
        <v>114</v>
      </c>
      <c r="B99" s="6" t="s">
        <v>104</v>
      </c>
      <c r="C99" s="19">
        <f>C70*IF('Assumptions &amp; Budget'!$E$48="Revenue",C$90,IF('Assumptions &amp; Budget'!$E$48="Orders",C$91,1))</f>
        <v>267.57099633672419</v>
      </c>
      <c r="D99" s="19">
        <f>D70*IF('Assumptions &amp; Budget'!$E$48="Revenue",D$90,IF('Assumptions &amp; Budget'!$E$48="Orders",D$91,1))</f>
        <v>263.54703088426118</v>
      </c>
      <c r="E99" s="19">
        <f>E70*IF('Assumptions &amp; Budget'!$E$48="Revenue",E$90,IF('Assumptions &amp; Budget'!$E$48="Orders",E$91,1))</f>
        <v>262.1251497203607</v>
      </c>
      <c r="F99" s="19">
        <f>F70*IF('Assumptions &amp; Budget'!$E$48="Revenue",F$90,IF('Assumptions &amp; Budget'!$E$48="Orders",F$91,1))</f>
        <v>256.1134737421512</v>
      </c>
      <c r="G99" s="19">
        <f>G70*IF('Assumptions &amp; Budget'!$E$48="Revenue",G$90,IF('Assumptions &amp; Budget'!$E$48="Orders",G$91,1))</f>
        <v>269.76175817405556</v>
      </c>
      <c r="H99" s="19">
        <f>H70*IF('Assumptions &amp; Budget'!$E$48="Revenue",H$90,IF('Assumptions &amp; Budget'!$E$48="Orders",H$91,1))</f>
        <v>284.93684231389278</v>
      </c>
      <c r="I99" s="19">
        <f>I70*IF('Assumptions &amp; Budget'!$E$48="Revenue",I$90,IF('Assumptions &amp; Budget'!$E$48="Orders",I$91,1))</f>
        <v>333.97360199999997</v>
      </c>
      <c r="J99" s="19">
        <f>J70*IF('Assumptions &amp; Budget'!$E$48="Revenue",J$90,IF('Assumptions &amp; Budget'!$E$48="Orders",J$91,1))</f>
        <v>320.05803524999993</v>
      </c>
      <c r="K99" s="19">
        <f>K70*IF('Assumptions &amp; Budget'!$E$48="Revenue",K$90,IF('Assumptions &amp; Budget'!$E$48="Orders",K$91,1))</f>
        <v>292.22690175000002</v>
      </c>
      <c r="L99" s="19">
        <f>L70*IF('Assumptions &amp; Budget'!$E$48="Revenue",L$90,IF('Assumptions &amp; Budget'!$E$48="Orders",L$91,1))</f>
        <v>278.31133499999999</v>
      </c>
      <c r="M99" s="19">
        <f>M70*IF('Assumptions &amp; Budget'!$E$48="Revenue",M$90,IF('Assumptions &amp; Budget'!$E$48="Orders",M$91,1))</f>
        <v>264.39576824999995</v>
      </c>
      <c r="N99" s="19">
        <f>N70*IF('Assumptions &amp; Budget'!$E$48="Revenue",N$90,IF('Assumptions &amp; Budget'!$E$48="Orders",N$91,1))</f>
        <v>272.74510829999997</v>
      </c>
      <c r="O99" s="19">
        <f t="shared" si="26"/>
        <v>1604.0552511714457</v>
      </c>
    </row>
    <row r="100" spans="1:16" x14ac:dyDescent="0.35">
      <c r="A100" s="5" t="s">
        <v>115</v>
      </c>
      <c r="B100" s="6" t="s">
        <v>104</v>
      </c>
      <c r="C100" s="19">
        <f>C71*IF('Assumptions &amp; Budget'!$E$49="Revenue",C$90,IF('Assumptions &amp; Budget'!$E$49="Orders",C$91,1))</f>
        <v>34.317500000000003</v>
      </c>
      <c r="D100" s="19">
        <f>D71*IF('Assumptions &amp; Budget'!$E$49="Revenue",D$90,IF('Assumptions &amp; Budget'!$E$49="Orders",D$91,1))</f>
        <v>34.317500000000003</v>
      </c>
      <c r="E100" s="19">
        <f>E71*IF('Assumptions &amp; Budget'!$E$49="Revenue",E$90,IF('Assumptions &amp; Budget'!$E$49="Orders",E$91,1))</f>
        <v>34.317500000000003</v>
      </c>
      <c r="F100" s="19">
        <f>F71*IF('Assumptions &amp; Budget'!$E$49="Revenue",F$90,IF('Assumptions &amp; Budget'!$E$49="Orders",F$91,1))</f>
        <v>34.317500000000003</v>
      </c>
      <c r="G100" s="19">
        <f>G71*IF('Assumptions &amp; Budget'!$E$49="Revenue",G$90,IF('Assumptions &amp; Budget'!$E$49="Orders",G$91,1))</f>
        <v>34.317500000000003</v>
      </c>
      <c r="H100" s="19">
        <f>H71*IF('Assumptions &amp; Budget'!$E$49="Revenue",H$90,IF('Assumptions &amp; Budget'!$E$49="Orders",H$91,1))</f>
        <v>34.317500000000003</v>
      </c>
      <c r="I100" s="19">
        <f>I71*IF('Assumptions &amp; Budget'!$E$49="Revenue",I$90,IF('Assumptions &amp; Budget'!$E$49="Orders",I$91,1))</f>
        <v>34.317500000000003</v>
      </c>
      <c r="J100" s="19">
        <f>J71*IF('Assumptions &amp; Budget'!$E$49="Revenue",J$90,IF('Assumptions &amp; Budget'!$E$49="Orders",J$91,1))</f>
        <v>34.317500000000003</v>
      </c>
      <c r="K100" s="19">
        <f>K71*IF('Assumptions &amp; Budget'!$E$49="Revenue",K$90,IF('Assumptions &amp; Budget'!$E$49="Orders",K$91,1))</f>
        <v>34.317500000000003</v>
      </c>
      <c r="L100" s="19">
        <f>L71*IF('Assumptions &amp; Budget'!$E$49="Revenue",L$90,IF('Assumptions &amp; Budget'!$E$49="Orders",L$91,1))</f>
        <v>34.317500000000003</v>
      </c>
      <c r="M100" s="19">
        <f>M71*IF('Assumptions &amp; Budget'!$E$49="Revenue",M$90,IF('Assumptions &amp; Budget'!$E$49="Orders",M$91,1))</f>
        <v>34.317500000000003</v>
      </c>
      <c r="N100" s="19">
        <f>N71*IF('Assumptions &amp; Budget'!$E$49="Revenue",N$90,IF('Assumptions &amp; Budget'!$E$49="Orders",N$91,1))</f>
        <v>34.317500000000003</v>
      </c>
      <c r="O100" s="19">
        <f t="shared" si="26"/>
        <v>205.905</v>
      </c>
    </row>
    <row r="101" spans="1:16" x14ac:dyDescent="0.35">
      <c r="A101" s="32" t="s">
        <v>116</v>
      </c>
      <c r="B101" s="33" t="s">
        <v>104</v>
      </c>
      <c r="C101" s="34">
        <f t="shared" ref="C101:N101" si="29">C98+C99+C100</f>
        <v>402.82138224276446</v>
      </c>
      <c r="D101" s="34">
        <f t="shared" si="29"/>
        <v>398.79741679030144</v>
      </c>
      <c r="E101" s="34">
        <f t="shared" si="29"/>
        <v>397.37553562640096</v>
      </c>
      <c r="F101" s="34">
        <f t="shared" si="29"/>
        <v>391.36385964819146</v>
      </c>
      <c r="G101" s="34">
        <f t="shared" si="29"/>
        <v>405.01214408009582</v>
      </c>
      <c r="H101" s="34">
        <f t="shared" si="29"/>
        <v>420.18722821993305</v>
      </c>
      <c r="I101" s="34">
        <f t="shared" si="29"/>
        <v>469.22398790604024</v>
      </c>
      <c r="J101" s="34">
        <f t="shared" si="29"/>
        <v>455.3084211560402</v>
      </c>
      <c r="K101" s="34">
        <f t="shared" si="29"/>
        <v>430.16883128020135</v>
      </c>
      <c r="L101" s="34">
        <f t="shared" si="29"/>
        <v>416.25326453020131</v>
      </c>
      <c r="M101" s="34">
        <f t="shared" si="29"/>
        <v>402.33769778020127</v>
      </c>
      <c r="N101" s="34">
        <f t="shared" si="29"/>
        <v>410.68703783020129</v>
      </c>
      <c r="O101" s="34">
        <f t="shared" si="26"/>
        <v>2415.557566607687</v>
      </c>
      <c r="P101" s="56"/>
    </row>
    <row r="102" spans="1:16" x14ac:dyDescent="0.35">
      <c r="A102" s="5" t="s">
        <v>117</v>
      </c>
      <c r="B102" s="6" t="s">
        <v>104</v>
      </c>
      <c r="C102" s="19">
        <f>C73*IF('Assumptions &amp; Budget'!$E$50="Revenue",C$90,IF('Assumptions &amp; Budget'!$E$50="Orders",C$91,1))</f>
        <v>91.04288659793815</v>
      </c>
      <c r="D102" s="19">
        <f>D73*IF('Assumptions &amp; Budget'!$E$50="Revenue",D$90,IF('Assumptions &amp; Budget'!$E$50="Orders",D$91,1))</f>
        <v>91.04288659793815</v>
      </c>
      <c r="E102" s="19">
        <f>E73*IF('Assumptions &amp; Budget'!$E$50="Revenue",E$90,IF('Assumptions &amp; Budget'!$E$50="Orders",E$91,1))</f>
        <v>91.04288659793815</v>
      </c>
      <c r="F102" s="19">
        <f>F73*IF('Assumptions &amp; Budget'!$E$50="Revenue",F$90,IF('Assumptions &amp; Budget'!$E$50="Orders",F$91,1))</f>
        <v>93.844206185567018</v>
      </c>
      <c r="G102" s="19">
        <f>G73*IF('Assumptions &amp; Budget'!$E$50="Revenue",G$90,IF('Assumptions &amp; Budget'!$E$50="Orders",G$91,1))</f>
        <v>93.844206185567018</v>
      </c>
      <c r="H102" s="19">
        <f>H73*IF('Assumptions &amp; Budget'!$E$50="Revenue",H$90,IF('Assumptions &amp; Budget'!$E$50="Orders",H$91,1))</f>
        <v>93.844206185567018</v>
      </c>
      <c r="I102" s="19">
        <f>I73*IF('Assumptions &amp; Budget'!$E$50="Revenue",I$90,IF('Assumptions &amp; Budget'!$E$50="Orders",I$91,1))</f>
        <v>93.844206185567018</v>
      </c>
      <c r="J102" s="19">
        <f>J73*IF('Assumptions &amp; Budget'!$E$50="Revenue",J$90,IF('Assumptions &amp; Budget'!$E$50="Orders",J$91,1))</f>
        <v>93.844206185567018</v>
      </c>
      <c r="K102" s="19">
        <f>K73*IF('Assumptions &amp; Budget'!$E$50="Revenue",K$90,IF('Assumptions &amp; Budget'!$E$50="Orders",K$91,1))</f>
        <v>93.844206185567018</v>
      </c>
      <c r="L102" s="19">
        <f>L73*IF('Assumptions &amp; Budget'!$E$50="Revenue",L$90,IF('Assumptions &amp; Budget'!$E$50="Orders",L$91,1))</f>
        <v>93.844206185567018</v>
      </c>
      <c r="M102" s="19">
        <f>M73*IF('Assumptions &amp; Budget'!$E$50="Revenue",M$90,IF('Assumptions &amp; Budget'!$E$50="Orders",M$91,1))</f>
        <v>93.844206185567018</v>
      </c>
      <c r="N102" s="19">
        <f>N73*IF('Assumptions &amp; Budget'!$E$50="Revenue",N$90,IF('Assumptions &amp; Budget'!$E$50="Orders",N$91,1))</f>
        <v>93.844206185567018</v>
      </c>
      <c r="O102" s="19">
        <f t="shared" si="26"/>
        <v>554.66127835051554</v>
      </c>
    </row>
    <row r="103" spans="1:16" x14ac:dyDescent="0.35">
      <c r="A103" s="5" t="s">
        <v>118</v>
      </c>
      <c r="B103" s="6" t="s">
        <v>104</v>
      </c>
      <c r="C103" s="19">
        <f>C74*IF('Assumptions &amp; Budget'!$E$51="Revenue",C$90,IF('Assumptions &amp; Budget'!$E$51="Orders",C$91,1))</f>
        <v>758.922632956347</v>
      </c>
      <c r="D103" s="19">
        <f>D74*IF('Assumptions &amp; Budget'!$E$51="Revenue",D$90,IF('Assumptions &amp; Budget'!$E$51="Orders",D$91,1))</f>
        <v>761.19940085521603</v>
      </c>
      <c r="E103" s="19">
        <f>E74*IF('Assumptions &amp; Budget'!$E$51="Revenue",E$90,IF('Assumptions &amp; Budget'!$E$51="Orders",E$91,1))</f>
        <v>739.37300961385165</v>
      </c>
      <c r="F103" s="19">
        <f>F74*IF('Assumptions &amp; Budget'!$E$51="Revenue",F$90,IF('Assumptions &amp; Budget'!$E$51="Orders",F$91,1))</f>
        <v>725.46958236785213</v>
      </c>
      <c r="G103" s="19">
        <f>G74*IF('Assumptions &amp; Budget'!$E$51="Revenue",G$90,IF('Assumptions &amp; Budget'!$E$51="Orders",G$91,1))</f>
        <v>768.07076839911963</v>
      </c>
      <c r="H103" s="19">
        <f>H74*IF('Assumptions &amp; Budget'!$E$51="Revenue",H$90,IF('Assumptions &amp; Budget'!$E$51="Orders",H$91,1))</f>
        <v>810.92103232033355</v>
      </c>
      <c r="I103" s="19">
        <f>I74*IF('Assumptions &amp; Budget'!$E$51="Revenue",I$90,IF('Assumptions &amp; Budget'!$E$51="Orders",I$91,1))</f>
        <v>976.02455450075354</v>
      </c>
      <c r="J103" s="19">
        <f>J74*IF('Assumptions &amp; Budget'!$E$51="Revenue",J$90,IF('Assumptions &amp; Budget'!$E$51="Orders",J$91,1))</f>
        <v>938.16293532407815</v>
      </c>
      <c r="K103" s="19">
        <f>K74*IF('Assumptions &amp; Budget'!$E$51="Revenue",K$90,IF('Assumptions &amp; Budget'!$E$51="Orders",K$91,1))</f>
        <v>859.15330029265499</v>
      </c>
      <c r="L103" s="19">
        <f>L74*IF('Assumptions &amp; Budget'!$E$51="Revenue",L$90,IF('Assumptions &amp; Budget'!$E$51="Orders",L$91,1))</f>
        <v>820.69596208907865</v>
      </c>
      <c r="M103" s="19">
        <f>M74*IF('Assumptions &amp; Budget'!$E$51="Revenue",M$90,IF('Assumptions &amp; Budget'!$E$51="Orders",M$91,1))</f>
        <v>782.00014747657849</v>
      </c>
      <c r="N103" s="19">
        <f>N74*IF('Assumptions &amp; Budget'!$E$51="Revenue",N$90,IF('Assumptions &amp; Budget'!$E$51="Orders",N$91,1))</f>
        <v>809.11497364276636</v>
      </c>
      <c r="O103" s="19">
        <f t="shared" si="26"/>
        <v>4563.9564265127201</v>
      </c>
    </row>
    <row r="104" spans="1:16" x14ac:dyDescent="0.35">
      <c r="A104" s="5" t="s">
        <v>119</v>
      </c>
      <c r="B104" s="6" t="s">
        <v>104</v>
      </c>
      <c r="C104" s="19">
        <f>C75*IF('Assumptions &amp; Budget'!$E$52="Revenue",C$90,IF('Assumptions &amp; Budget'!$E$52="Orders",C$91,1))</f>
        <v>352.98727114248703</v>
      </c>
      <c r="D104" s="19">
        <f>D75*IF('Assumptions &amp; Budget'!$E$52="Revenue",D$90,IF('Assumptions &amp; Budget'!$E$52="Orders",D$91,1))</f>
        <v>354.04623295591449</v>
      </c>
      <c r="E104" s="19">
        <f>E75*IF('Assumptions &amp; Budget'!$E$52="Revenue",E$90,IF('Assumptions &amp; Budget'!$E$52="Orders",E$91,1))</f>
        <v>343.8944230762101</v>
      </c>
      <c r="F104" s="19">
        <f>F75*IF('Assumptions &amp; Budget'!$E$52="Revenue",F$90,IF('Assumptions &amp; Budget'!$E$52="Orders",F$91,1))</f>
        <v>337.42771272923358</v>
      </c>
      <c r="G104" s="19">
        <f>G75*IF('Assumptions &amp; Budget'!$E$52="Revenue",G$90,IF('Assumptions &amp; Budget'!$E$52="Orders",G$91,1))</f>
        <v>357.24221786005569</v>
      </c>
      <c r="H104" s="19">
        <f>H75*IF('Assumptions &amp; Budget'!$E$52="Revenue",H$90,IF('Assumptions &amp; Budget'!$E$52="Orders",H$91,1))</f>
        <v>377.17257317224818</v>
      </c>
      <c r="I104" s="19">
        <f>I75*IF('Assumptions &amp; Budget'!$E$52="Revenue",I$90,IF('Assumptions &amp; Budget'!$E$52="Orders",I$91,1))</f>
        <v>453.96490907011798</v>
      </c>
      <c r="J104" s="19">
        <f>J75*IF('Assumptions &amp; Budget'!$E$52="Revenue",J$90,IF('Assumptions &amp; Budget'!$E$52="Orders",J$91,1))</f>
        <v>436.35485363910612</v>
      </c>
      <c r="K104" s="19">
        <f>K75*IF('Assumptions &amp; Budget'!$E$52="Revenue",K$90,IF('Assumptions &amp; Budget'!$E$52="Orders",K$91,1))</f>
        <v>399.60618618263027</v>
      </c>
      <c r="L104" s="19">
        <f>L75*IF('Assumptions &amp; Budget'!$E$52="Revenue",L$90,IF('Assumptions &amp; Budget'!$E$52="Orders",L$91,1))</f>
        <v>381.71905213445524</v>
      </c>
      <c r="M104" s="19">
        <f>M75*IF('Assumptions &amp; Budget'!$E$52="Revenue",M$90,IF('Assumptions &amp; Budget'!$E$52="Orders",M$91,1))</f>
        <v>363.72099882631562</v>
      </c>
      <c r="N104" s="19">
        <f>N75*IF('Assumptions &amp; Budget'!$E$52="Revenue",N$90,IF('Assumptions &amp; Budget'!$E$52="Orders",N$91,1))</f>
        <v>376.33254588035646</v>
      </c>
      <c r="O104" s="19">
        <f t="shared" si="26"/>
        <v>2122.7704309361493</v>
      </c>
    </row>
    <row r="105" spans="1:16" x14ac:dyDescent="0.35">
      <c r="A105" s="32" t="s">
        <v>120</v>
      </c>
      <c r="B105" s="33" t="s">
        <v>104</v>
      </c>
      <c r="C105" s="34">
        <f t="shared" ref="C105:N105" si="30">C102+C103+C104</f>
        <v>1202.9527906967721</v>
      </c>
      <c r="D105" s="34">
        <f t="shared" si="30"/>
        <v>1206.2885204090687</v>
      </c>
      <c r="E105" s="34">
        <f t="shared" si="30"/>
        <v>1174.3103192879998</v>
      </c>
      <c r="F105" s="34">
        <f t="shared" si="30"/>
        <v>1156.7415012826527</v>
      </c>
      <c r="G105" s="34">
        <f t="shared" si="30"/>
        <v>1219.1571924447423</v>
      </c>
      <c r="H105" s="34">
        <f t="shared" si="30"/>
        <v>1281.9378116781488</v>
      </c>
      <c r="I105" s="34">
        <f t="shared" si="30"/>
        <v>1523.8336697564384</v>
      </c>
      <c r="J105" s="34">
        <f t="shared" si="30"/>
        <v>1468.3619951487512</v>
      </c>
      <c r="K105" s="34">
        <f t="shared" si="30"/>
        <v>1352.6036926608522</v>
      </c>
      <c r="L105" s="34">
        <f t="shared" si="30"/>
        <v>1296.2592204091009</v>
      </c>
      <c r="M105" s="34">
        <f t="shared" si="30"/>
        <v>1239.565352488461</v>
      </c>
      <c r="N105" s="34">
        <f t="shared" si="30"/>
        <v>1279.2917257086899</v>
      </c>
      <c r="O105" s="34">
        <f t="shared" si="26"/>
        <v>7241.3881357993851</v>
      </c>
      <c r="P105" s="56"/>
    </row>
    <row r="106" spans="1:16" x14ac:dyDescent="0.35">
      <c r="A106" s="5" t="s">
        <v>121</v>
      </c>
      <c r="B106" s="6" t="s">
        <v>104</v>
      </c>
      <c r="C106" s="19">
        <f>C77*IF('Assumptions &amp; Budget'!$E$53="Revenue",C$90,IF('Assumptions &amp; Budget'!$E$53="Orders",C$91,1))</f>
        <v>15.012</v>
      </c>
      <c r="D106" s="19">
        <f>D77*IF('Assumptions &amp; Budget'!$E$53="Revenue",D$90,IF('Assumptions &amp; Budget'!$E$53="Orders",D$91,1))</f>
        <v>15.012</v>
      </c>
      <c r="E106" s="19">
        <f>E77*IF('Assumptions &amp; Budget'!$E$53="Revenue",E$90,IF('Assumptions &amp; Budget'!$E$53="Orders",E$91,1))</f>
        <v>15.012</v>
      </c>
      <c r="F106" s="19">
        <f>F77*IF('Assumptions &amp; Budget'!$E$53="Revenue",F$90,IF('Assumptions &amp; Budget'!$E$53="Orders",F$91,1))</f>
        <v>15.012</v>
      </c>
      <c r="G106" s="19">
        <f>G77*IF('Assumptions &amp; Budget'!$E$53="Revenue",G$90,IF('Assumptions &amp; Budget'!$E$53="Orders",G$91,1))</f>
        <v>15.012</v>
      </c>
      <c r="H106" s="19">
        <f>H77*IF('Assumptions &amp; Budget'!$E$53="Revenue",H$90,IF('Assumptions &amp; Budget'!$E$53="Orders",H$91,1))</f>
        <v>15.012</v>
      </c>
      <c r="I106" s="19">
        <f>I77*IF('Assumptions &amp; Budget'!$E$53="Revenue",I$90,IF('Assumptions &amp; Budget'!$E$53="Orders",I$91,1))</f>
        <v>15.012</v>
      </c>
      <c r="J106" s="19">
        <f>J77*IF('Assumptions &amp; Budget'!$E$53="Revenue",J$90,IF('Assumptions &amp; Budget'!$E$53="Orders",J$91,1))</f>
        <v>15.012</v>
      </c>
      <c r="K106" s="19">
        <f>K77*IF('Assumptions &amp; Budget'!$E$53="Revenue",K$90,IF('Assumptions &amp; Budget'!$E$53="Orders",K$91,1))</f>
        <v>15.012</v>
      </c>
      <c r="L106" s="19">
        <f>L77*IF('Assumptions &amp; Budget'!$E$53="Revenue",L$90,IF('Assumptions &amp; Budget'!$E$53="Orders",L$91,1))</f>
        <v>15.012</v>
      </c>
      <c r="M106" s="19">
        <f>M77*IF('Assumptions &amp; Budget'!$E$53="Revenue",M$90,IF('Assumptions &amp; Budget'!$E$53="Orders",M$91,1))</f>
        <v>15.012</v>
      </c>
      <c r="N106" s="19">
        <f>N77*IF('Assumptions &amp; Budget'!$E$53="Revenue",N$90,IF('Assumptions &amp; Budget'!$E$53="Orders",N$91,1))</f>
        <v>15.012</v>
      </c>
      <c r="O106" s="19">
        <f t="shared" si="26"/>
        <v>90.072000000000003</v>
      </c>
    </row>
    <row r="107" spans="1:16" x14ac:dyDescent="0.35">
      <c r="A107" s="5" t="s">
        <v>122</v>
      </c>
      <c r="B107" s="6" t="s">
        <v>104</v>
      </c>
      <c r="C107" s="19">
        <f>C78*IF('Assumptions &amp; Budget'!$E$54="Revenue",C$90,IF('Assumptions &amp; Budget'!$E$54="Orders",C$91,1))</f>
        <v>10.123750000000001</v>
      </c>
      <c r="D107" s="19">
        <f>D78*IF('Assumptions &amp; Budget'!$E$54="Revenue",D$90,IF('Assumptions &amp; Budget'!$E$54="Orders",D$91,1))</f>
        <v>10.123750000000001</v>
      </c>
      <c r="E107" s="19">
        <f>E78*IF('Assumptions &amp; Budget'!$E$54="Revenue",E$90,IF('Assumptions &amp; Budget'!$E$54="Orders",E$91,1))</f>
        <v>10.123750000000001</v>
      </c>
      <c r="F107" s="19">
        <f>F78*IF('Assumptions &amp; Budget'!$E$54="Revenue",F$90,IF('Assumptions &amp; Budget'!$E$54="Orders",F$91,1))</f>
        <v>10.123750000000001</v>
      </c>
      <c r="G107" s="19">
        <f>G78*IF('Assumptions &amp; Budget'!$E$54="Revenue",G$90,IF('Assumptions &amp; Budget'!$E$54="Orders",G$91,1))</f>
        <v>10.123750000000001</v>
      </c>
      <c r="H107" s="19">
        <f>H78*IF('Assumptions &amp; Budget'!$E$54="Revenue",H$90,IF('Assumptions &amp; Budget'!$E$54="Orders",H$91,1))</f>
        <v>10.123750000000001</v>
      </c>
      <c r="I107" s="19">
        <f>I78*IF('Assumptions &amp; Budget'!$E$54="Revenue",I$90,IF('Assumptions &amp; Budget'!$E$54="Orders",I$91,1))</f>
        <v>10.123750000000001</v>
      </c>
      <c r="J107" s="19">
        <f>J78*IF('Assumptions &amp; Budget'!$E$54="Revenue",J$90,IF('Assumptions &amp; Budget'!$E$54="Orders",J$91,1))</f>
        <v>10.123750000000001</v>
      </c>
      <c r="K107" s="19">
        <f>K78*IF('Assumptions &amp; Budget'!$E$54="Revenue",K$90,IF('Assumptions &amp; Budget'!$E$54="Orders",K$91,1))</f>
        <v>10.123750000000001</v>
      </c>
      <c r="L107" s="19">
        <f>L78*IF('Assumptions &amp; Budget'!$E$54="Revenue",L$90,IF('Assumptions &amp; Budget'!$E$54="Orders",L$91,1))</f>
        <v>10.123750000000001</v>
      </c>
      <c r="M107" s="19">
        <f>M78*IF('Assumptions &amp; Budget'!$E$54="Revenue",M$90,IF('Assumptions &amp; Budget'!$E$54="Orders",M$91,1))</f>
        <v>10.123750000000001</v>
      </c>
      <c r="N107" s="19">
        <f>N78*IF('Assumptions &amp; Budget'!$E$54="Revenue",N$90,IF('Assumptions &amp; Budget'!$E$54="Orders",N$91,1))</f>
        <v>10.123750000000001</v>
      </c>
      <c r="O107" s="19">
        <f t="shared" si="26"/>
        <v>60.742500000000007</v>
      </c>
    </row>
    <row r="108" spans="1:16" x14ac:dyDescent="0.35">
      <c r="A108" s="32" t="s">
        <v>123</v>
      </c>
      <c r="B108" s="33" t="s">
        <v>104</v>
      </c>
      <c r="C108" s="34">
        <f t="shared" ref="C108:N108" si="31">C106+C107</f>
        <v>25.135750000000002</v>
      </c>
      <c r="D108" s="34">
        <f t="shared" si="31"/>
        <v>25.135750000000002</v>
      </c>
      <c r="E108" s="34">
        <f t="shared" si="31"/>
        <v>25.135750000000002</v>
      </c>
      <c r="F108" s="34">
        <f t="shared" si="31"/>
        <v>25.135750000000002</v>
      </c>
      <c r="G108" s="34">
        <f t="shared" si="31"/>
        <v>25.135750000000002</v>
      </c>
      <c r="H108" s="34">
        <f t="shared" si="31"/>
        <v>25.135750000000002</v>
      </c>
      <c r="I108" s="34">
        <f t="shared" si="31"/>
        <v>25.135750000000002</v>
      </c>
      <c r="J108" s="34">
        <f t="shared" si="31"/>
        <v>25.135750000000002</v>
      </c>
      <c r="K108" s="34">
        <f t="shared" si="31"/>
        <v>25.135750000000002</v>
      </c>
      <c r="L108" s="34">
        <f t="shared" si="31"/>
        <v>25.135750000000002</v>
      </c>
      <c r="M108" s="34">
        <f t="shared" si="31"/>
        <v>25.135750000000002</v>
      </c>
      <c r="N108" s="34">
        <f t="shared" si="31"/>
        <v>25.135750000000002</v>
      </c>
      <c r="O108" s="34">
        <f t="shared" si="26"/>
        <v>150.81450000000001</v>
      </c>
      <c r="P108" s="56"/>
    </row>
    <row r="109" spans="1:16" x14ac:dyDescent="0.35">
      <c r="A109" s="5" t="s">
        <v>124</v>
      </c>
      <c r="B109" s="6" t="s">
        <v>104</v>
      </c>
      <c r="C109" s="19">
        <f>C80*IF('Assumptions &amp; Budget'!$E$55="Revenue",C$90,IF('Assumptions &amp; Budget'!$E$55="Orders",C$91,1))</f>
        <v>94.566193548387105</v>
      </c>
      <c r="D109" s="19">
        <f>D80*IF('Assumptions &amp; Budget'!$E$55="Revenue",D$90,IF('Assumptions &amp; Budget'!$E$55="Orders",D$91,1))</f>
        <v>94.566193548387105</v>
      </c>
      <c r="E109" s="19">
        <f>E80*IF('Assumptions &amp; Budget'!$E$55="Revenue",E$90,IF('Assumptions &amp; Budget'!$E$55="Orders",E$91,1))</f>
        <v>94.566193548387105</v>
      </c>
      <c r="F109" s="19">
        <f>F80*IF('Assumptions &amp; Budget'!$E$55="Revenue",F$90,IF('Assumptions &amp; Budget'!$E$55="Orders",F$91,1))</f>
        <v>98.203354838709686</v>
      </c>
      <c r="G109" s="19">
        <f>G80*IF('Assumptions &amp; Budget'!$E$55="Revenue",G$90,IF('Assumptions &amp; Budget'!$E$55="Orders",G$91,1))</f>
        <v>98.203354838709686</v>
      </c>
      <c r="H109" s="19">
        <f>H80*IF('Assumptions &amp; Budget'!$E$55="Revenue",H$90,IF('Assumptions &amp; Budget'!$E$55="Orders",H$91,1))</f>
        <v>98.203354838709686</v>
      </c>
      <c r="I109" s="19">
        <f>I80*IF('Assumptions &amp; Budget'!$E$55="Revenue",I$90,IF('Assumptions &amp; Budget'!$E$55="Orders",I$91,1))</f>
        <v>98.203354838709686</v>
      </c>
      <c r="J109" s="19">
        <f>J80*IF('Assumptions &amp; Budget'!$E$55="Revenue",J$90,IF('Assumptions &amp; Budget'!$E$55="Orders",J$91,1))</f>
        <v>98.203354838709686</v>
      </c>
      <c r="K109" s="19">
        <f>K80*IF('Assumptions &amp; Budget'!$E$55="Revenue",K$90,IF('Assumptions &amp; Budget'!$E$55="Orders",K$91,1))</f>
        <v>98.203354838709686</v>
      </c>
      <c r="L109" s="19">
        <f>L80*IF('Assumptions &amp; Budget'!$E$55="Revenue",L$90,IF('Assumptions &amp; Budget'!$E$55="Orders",L$91,1))</f>
        <v>98.203354838709686</v>
      </c>
      <c r="M109" s="19">
        <f>M80*IF('Assumptions &amp; Budget'!$E$55="Revenue",M$90,IF('Assumptions &amp; Budget'!$E$55="Orders",M$91,1))</f>
        <v>98.203354838709686</v>
      </c>
      <c r="N109" s="19">
        <f>N80*IF('Assumptions &amp; Budget'!$E$55="Revenue",N$90,IF('Assumptions &amp; Budget'!$E$55="Orders",N$91,1))</f>
        <v>98.203354838709686</v>
      </c>
      <c r="O109" s="19">
        <f t="shared" si="26"/>
        <v>578.30864516129031</v>
      </c>
    </row>
    <row r="110" spans="1:16" x14ac:dyDescent="0.35">
      <c r="A110" s="5" t="s">
        <v>125</v>
      </c>
      <c r="B110" s="6" t="s">
        <v>104</v>
      </c>
      <c r="C110" s="19">
        <f>C81*IF('Assumptions &amp; Budget'!$E$56="Revenue",C$90,IF('Assumptions &amp; Budget'!$E$56="Orders",C$91,1))</f>
        <v>52.210666666666683</v>
      </c>
      <c r="D110" s="19">
        <f>D81*IF('Assumptions &amp; Budget'!$E$56="Revenue",D$90,IF('Assumptions &amp; Budget'!$E$56="Orders",D$91,1))</f>
        <v>52.210666666666683</v>
      </c>
      <c r="E110" s="19">
        <f>E81*IF('Assumptions &amp; Budget'!$E$56="Revenue",E$90,IF('Assumptions &amp; Budget'!$E$56="Orders",E$91,1))</f>
        <v>52.210666666666683</v>
      </c>
      <c r="F110" s="19">
        <f>F81*IF('Assumptions &amp; Budget'!$E$56="Revenue",F$90,IF('Assumptions &amp; Budget'!$E$56="Orders",F$91,1))</f>
        <v>52.210666666666683</v>
      </c>
      <c r="G110" s="19">
        <f>G81*IF('Assumptions &amp; Budget'!$E$56="Revenue",G$90,IF('Assumptions &amp; Budget'!$E$56="Orders",G$91,1))</f>
        <v>52.210666666666683</v>
      </c>
      <c r="H110" s="19">
        <f>H81*IF('Assumptions &amp; Budget'!$E$56="Revenue",H$90,IF('Assumptions &amp; Budget'!$E$56="Orders",H$91,1))</f>
        <v>52.210666666666683</v>
      </c>
      <c r="I110" s="19">
        <f>I81*IF('Assumptions &amp; Budget'!$E$56="Revenue",I$90,IF('Assumptions &amp; Budget'!$E$56="Orders",I$91,1))</f>
        <v>52.210666666666683</v>
      </c>
      <c r="J110" s="19">
        <f>J81*IF('Assumptions &amp; Budget'!$E$56="Revenue",J$90,IF('Assumptions &amp; Budget'!$E$56="Orders",J$91,1))</f>
        <v>52.210666666666683</v>
      </c>
      <c r="K110" s="19">
        <f>K81*IF('Assumptions &amp; Budget'!$E$56="Revenue",K$90,IF('Assumptions &amp; Budget'!$E$56="Orders",K$91,1))</f>
        <v>52.210666666666683</v>
      </c>
      <c r="L110" s="19">
        <f>L81*IF('Assumptions &amp; Budget'!$E$56="Revenue",L$90,IF('Assumptions &amp; Budget'!$E$56="Orders",L$91,1))</f>
        <v>52.210666666666683</v>
      </c>
      <c r="M110" s="19">
        <f>M81*IF('Assumptions &amp; Budget'!$E$56="Revenue",M$90,IF('Assumptions &amp; Budget'!$E$56="Orders",M$91,1))</f>
        <v>52.210666666666683</v>
      </c>
      <c r="N110" s="19">
        <f>N81*IF('Assumptions &amp; Budget'!$E$56="Revenue",N$90,IF('Assumptions &amp; Budget'!$E$56="Orders",N$91,1))</f>
        <v>52.210666666666683</v>
      </c>
      <c r="O110" s="19">
        <f t="shared" si="26"/>
        <v>313.26400000000007</v>
      </c>
    </row>
    <row r="111" spans="1:16" x14ac:dyDescent="0.35">
      <c r="A111" s="32" t="s">
        <v>126</v>
      </c>
      <c r="B111" s="33" t="s">
        <v>104</v>
      </c>
      <c r="C111" s="34">
        <f t="shared" ref="C111:N111" si="32">C109+C110</f>
        <v>146.77686021505377</v>
      </c>
      <c r="D111" s="34">
        <f t="shared" si="32"/>
        <v>146.77686021505377</v>
      </c>
      <c r="E111" s="34">
        <f t="shared" si="32"/>
        <v>146.77686021505377</v>
      </c>
      <c r="F111" s="34">
        <f t="shared" si="32"/>
        <v>150.41402150537635</v>
      </c>
      <c r="G111" s="34">
        <f t="shared" si="32"/>
        <v>150.41402150537635</v>
      </c>
      <c r="H111" s="34">
        <f t="shared" si="32"/>
        <v>150.41402150537635</v>
      </c>
      <c r="I111" s="34">
        <f t="shared" si="32"/>
        <v>150.41402150537635</v>
      </c>
      <c r="J111" s="34">
        <f t="shared" si="32"/>
        <v>150.41402150537635</v>
      </c>
      <c r="K111" s="34">
        <f t="shared" si="32"/>
        <v>150.41402150537635</v>
      </c>
      <c r="L111" s="34">
        <f t="shared" si="32"/>
        <v>150.41402150537635</v>
      </c>
      <c r="M111" s="34">
        <f t="shared" si="32"/>
        <v>150.41402150537635</v>
      </c>
      <c r="N111" s="34">
        <f t="shared" si="32"/>
        <v>150.41402150537635</v>
      </c>
      <c r="O111" s="34">
        <f t="shared" si="26"/>
        <v>891.57264516129044</v>
      </c>
      <c r="P111" s="56"/>
    </row>
    <row r="112" spans="1:16" x14ac:dyDescent="0.35">
      <c r="A112" s="5" t="s">
        <v>127</v>
      </c>
      <c r="B112" s="6" t="s">
        <v>104</v>
      </c>
      <c r="C112" s="19">
        <f>C83*IF('Assumptions &amp; Budget'!$E$57="Revenue",C$90,IF('Assumptions &amp; Budget'!$E$57="Orders",C$91,1))</f>
        <v>39.311999999999991</v>
      </c>
      <c r="D112" s="19">
        <f>D83*IF('Assumptions &amp; Budget'!$E$57="Revenue",D$90,IF('Assumptions &amp; Budget'!$E$57="Orders",D$91,1))</f>
        <v>39.311999999999991</v>
      </c>
      <c r="E112" s="19">
        <f>E83*IF('Assumptions &amp; Budget'!$E$57="Revenue",E$90,IF('Assumptions &amp; Budget'!$E$57="Orders",E$91,1))</f>
        <v>39.311999999999991</v>
      </c>
      <c r="F112" s="19">
        <f>F83*IF('Assumptions &amp; Budget'!$E$57="Revenue",F$90,IF('Assumptions &amp; Budget'!$E$57="Orders",F$91,1))</f>
        <v>39.311999999999991</v>
      </c>
      <c r="G112" s="19">
        <f>G83*IF('Assumptions &amp; Budget'!$E$57="Revenue",G$90,IF('Assumptions &amp; Budget'!$E$57="Orders",G$91,1))</f>
        <v>39.311999999999991</v>
      </c>
      <c r="H112" s="19">
        <f>H83*IF('Assumptions &amp; Budget'!$E$57="Revenue",H$90,IF('Assumptions &amp; Budget'!$E$57="Orders",H$91,1))</f>
        <v>39.311999999999991</v>
      </c>
      <c r="I112" s="19">
        <f>I83*IF('Assumptions &amp; Budget'!$E$57="Revenue",I$90,IF('Assumptions &amp; Budget'!$E$57="Orders",I$91,1))</f>
        <v>40.622399999999992</v>
      </c>
      <c r="J112" s="19">
        <f>J83*IF('Assumptions &amp; Budget'!$E$57="Revenue",J$90,IF('Assumptions &amp; Budget'!$E$57="Orders",J$91,1))</f>
        <v>40.622399999999992</v>
      </c>
      <c r="K112" s="19">
        <f>K83*IF('Assumptions &amp; Budget'!$E$57="Revenue",K$90,IF('Assumptions &amp; Budget'!$E$57="Orders",K$91,1))</f>
        <v>40.622399999999992</v>
      </c>
      <c r="L112" s="19">
        <f>L83*IF('Assumptions &amp; Budget'!$E$57="Revenue",L$90,IF('Assumptions &amp; Budget'!$E$57="Orders",L$91,1))</f>
        <v>40.622399999999992</v>
      </c>
      <c r="M112" s="19">
        <f>M83*IF('Assumptions &amp; Budget'!$E$57="Revenue",M$90,IF('Assumptions &amp; Budget'!$E$57="Orders",M$91,1))</f>
        <v>40.622399999999992</v>
      </c>
      <c r="N112" s="19">
        <f>N83*IF('Assumptions &amp; Budget'!$E$57="Revenue",N$90,IF('Assumptions &amp; Budget'!$E$57="Orders",N$91,1))</f>
        <v>40.622399999999992</v>
      </c>
      <c r="O112" s="19">
        <f t="shared" si="26"/>
        <v>235.87199999999993</v>
      </c>
    </row>
    <row r="113" spans="1:16" x14ac:dyDescent="0.35">
      <c r="A113" s="5" t="s">
        <v>128</v>
      </c>
      <c r="B113" s="6" t="s">
        <v>104</v>
      </c>
      <c r="C113" s="19">
        <f>C84*IF('Assumptions &amp; Budget'!$E$58="Revenue",C$90,IF('Assumptions &amp; Budget'!$E$58="Orders",C$91,1))</f>
        <v>62.071833333333345</v>
      </c>
      <c r="D113" s="19">
        <f>D84*IF('Assumptions &amp; Budget'!$E$58="Revenue",D$90,IF('Assumptions &amp; Budget'!$E$58="Orders",D$91,1))</f>
        <v>62.071833333333345</v>
      </c>
      <c r="E113" s="19">
        <f>E84*IF('Assumptions &amp; Budget'!$E$58="Revenue",E$90,IF('Assumptions &amp; Budget'!$E$58="Orders",E$91,1))</f>
        <v>62.071833333333345</v>
      </c>
      <c r="F113" s="19">
        <f>F84*IF('Assumptions &amp; Budget'!$E$58="Revenue",F$90,IF('Assumptions &amp; Budget'!$E$58="Orders",F$91,1))</f>
        <v>62.071833333333345</v>
      </c>
      <c r="G113" s="19">
        <f>G84*IF('Assumptions &amp; Budget'!$E$58="Revenue",G$90,IF('Assumptions &amp; Budget'!$E$58="Orders",G$91,1))</f>
        <v>62.071833333333345</v>
      </c>
      <c r="H113" s="19">
        <f>H84*IF('Assumptions &amp; Budget'!$E$58="Revenue",H$90,IF('Assumptions &amp; Budget'!$E$58="Orders",H$91,1))</f>
        <v>62.071833333333345</v>
      </c>
      <c r="I113" s="19">
        <f>I84*IF('Assumptions &amp; Budget'!$E$58="Revenue",I$90,IF('Assumptions &amp; Budget'!$E$58="Orders",I$91,1))</f>
        <v>62.071833333333345</v>
      </c>
      <c r="J113" s="19">
        <f>J84*IF('Assumptions &amp; Budget'!$E$58="Revenue",J$90,IF('Assumptions &amp; Budget'!$E$58="Orders",J$91,1))</f>
        <v>62.071833333333345</v>
      </c>
      <c r="K113" s="19">
        <f>K84*IF('Assumptions &amp; Budget'!$E$58="Revenue",K$90,IF('Assumptions &amp; Budget'!$E$58="Orders",K$91,1))</f>
        <v>62.071833333333345</v>
      </c>
      <c r="L113" s="19">
        <f>L84*IF('Assumptions &amp; Budget'!$E$58="Revenue",L$90,IF('Assumptions &amp; Budget'!$E$58="Orders",L$91,1))</f>
        <v>62.071833333333345</v>
      </c>
      <c r="M113" s="19">
        <f>M84*IF('Assumptions &amp; Budget'!$E$58="Revenue",M$90,IF('Assumptions &amp; Budget'!$E$58="Orders",M$91,1))</f>
        <v>62.071833333333345</v>
      </c>
      <c r="N113" s="19">
        <f>N84*IF('Assumptions &amp; Budget'!$E$58="Revenue",N$90,IF('Assumptions &amp; Budget'!$E$58="Orders",N$91,1))</f>
        <v>62.071833333333345</v>
      </c>
      <c r="O113" s="19">
        <f t="shared" si="26"/>
        <v>372.4310000000001</v>
      </c>
    </row>
    <row r="114" spans="1:16" x14ac:dyDescent="0.35">
      <c r="A114" s="32" t="s">
        <v>129</v>
      </c>
      <c r="B114" s="33" t="s">
        <v>104</v>
      </c>
      <c r="C114" s="34">
        <f t="shared" ref="C114:N114" si="33">C112+C113</f>
        <v>101.38383333333334</v>
      </c>
      <c r="D114" s="34">
        <f t="shared" si="33"/>
        <v>101.38383333333334</v>
      </c>
      <c r="E114" s="34">
        <f t="shared" si="33"/>
        <v>101.38383333333334</v>
      </c>
      <c r="F114" s="34">
        <f t="shared" si="33"/>
        <v>101.38383333333334</v>
      </c>
      <c r="G114" s="34">
        <f t="shared" si="33"/>
        <v>101.38383333333334</v>
      </c>
      <c r="H114" s="34">
        <f t="shared" si="33"/>
        <v>101.38383333333334</v>
      </c>
      <c r="I114" s="34">
        <f t="shared" si="33"/>
        <v>102.69423333333333</v>
      </c>
      <c r="J114" s="34">
        <f t="shared" si="33"/>
        <v>102.69423333333333</v>
      </c>
      <c r="K114" s="34">
        <f t="shared" si="33"/>
        <v>102.69423333333333</v>
      </c>
      <c r="L114" s="34">
        <f t="shared" si="33"/>
        <v>102.69423333333333</v>
      </c>
      <c r="M114" s="34">
        <f t="shared" si="33"/>
        <v>102.69423333333333</v>
      </c>
      <c r="N114" s="34">
        <f t="shared" si="33"/>
        <v>102.69423333333333</v>
      </c>
      <c r="O114" s="34">
        <f t="shared" si="26"/>
        <v>608.303</v>
      </c>
      <c r="P114" s="56"/>
    </row>
    <row r="115" spans="1:16" x14ac:dyDescent="0.35">
      <c r="A115" s="32" t="s">
        <v>131</v>
      </c>
      <c r="B115" s="33" t="s">
        <v>104</v>
      </c>
      <c r="C115" s="34">
        <f t="shared" ref="C115:N115" si="34">C97+C101+C105+C108+C111+C114</f>
        <v>2057.248625653287</v>
      </c>
      <c r="D115" s="34">
        <f t="shared" si="34"/>
        <v>2054.6032975531207</v>
      </c>
      <c r="E115" s="34">
        <f t="shared" si="34"/>
        <v>2021.856928468151</v>
      </c>
      <c r="F115" s="34">
        <f t="shared" si="34"/>
        <v>1998.6953275349169</v>
      </c>
      <c r="G115" s="34">
        <f t="shared" si="34"/>
        <v>2080.187788608911</v>
      </c>
      <c r="H115" s="34">
        <f t="shared" si="34"/>
        <v>2167.2897453143332</v>
      </c>
      <c r="I115" s="34">
        <f t="shared" si="34"/>
        <v>2481.072319579765</v>
      </c>
      <c r="J115" s="34">
        <f t="shared" si="34"/>
        <v>2406.4020615927743</v>
      </c>
      <c r="K115" s="34">
        <f t="shared" si="34"/>
        <v>2254.4795689920938</v>
      </c>
      <c r="L115" s="34">
        <f t="shared" si="34"/>
        <v>2180.0401830719793</v>
      </c>
      <c r="M115" s="34">
        <f t="shared" si="34"/>
        <v>2104.0313324088975</v>
      </c>
      <c r="N115" s="34">
        <f t="shared" si="34"/>
        <v>2155.8905097953389</v>
      </c>
      <c r="O115" s="34">
        <f t="shared" si="26"/>
        <v>12379.88171313272</v>
      </c>
      <c r="P115" s="56"/>
    </row>
    <row r="116" spans="1:16" x14ac:dyDescent="0.35">
      <c r="A116" s="32" t="s">
        <v>132</v>
      </c>
      <c r="B116" s="33" t="s">
        <v>104</v>
      </c>
      <c r="C116" s="34">
        <f t="shared" ref="C116:N116" si="35">C94-C115</f>
        <v>367.26316797158279</v>
      </c>
      <c r="D116" s="34">
        <f t="shared" si="35"/>
        <v>400.72140192602365</v>
      </c>
      <c r="E116" s="34">
        <f t="shared" si="35"/>
        <v>325.19463581394962</v>
      </c>
      <c r="F116" s="34">
        <f t="shared" si="35"/>
        <v>316.94457175741854</v>
      </c>
      <c r="G116" s="34">
        <f t="shared" si="35"/>
        <v>377.50281203164513</v>
      </c>
      <c r="H116" s="34">
        <f t="shared" si="35"/>
        <v>419.72018546814797</v>
      </c>
      <c r="I116" s="34">
        <f t="shared" si="35"/>
        <v>651.28555300404832</v>
      </c>
      <c r="J116" s="34">
        <f t="shared" si="35"/>
        <v>604.44642851705748</v>
      </c>
      <c r="K116" s="34">
        <f t="shared" si="35"/>
        <v>502.80311566805449</v>
      </c>
      <c r="L116" s="34">
        <f t="shared" si="35"/>
        <v>453.82127665576172</v>
      </c>
      <c r="M116" s="34">
        <f t="shared" si="35"/>
        <v>405.64355949267974</v>
      </c>
      <c r="N116" s="34">
        <f t="shared" si="35"/>
        <v>440.8040567791204</v>
      </c>
      <c r="O116" s="34">
        <f t="shared" si="26"/>
        <v>2207.3467749687679</v>
      </c>
      <c r="P116" s="56"/>
    </row>
    <row r="118" spans="1:16" x14ac:dyDescent="0.35">
      <c r="A118" s="7" t="s">
        <v>251</v>
      </c>
      <c r="B118" s="8"/>
      <c r="C118" s="8"/>
      <c r="D118" s="8"/>
      <c r="E118" s="8"/>
      <c r="F118" s="8"/>
      <c r="G118" s="8"/>
      <c r="H118" s="8"/>
      <c r="I118" s="8"/>
      <c r="J118" s="8"/>
      <c r="K118" s="8"/>
      <c r="L118" s="8"/>
      <c r="M118" s="8"/>
      <c r="N118" s="8"/>
      <c r="O118" s="8"/>
      <c r="P118" s="8"/>
    </row>
    <row r="119" spans="1:16" x14ac:dyDescent="0.35">
      <c r="A119" s="32" t="s">
        <v>103</v>
      </c>
      <c r="B119" s="33" t="s">
        <v>104</v>
      </c>
      <c r="C119" s="57">
        <f t="shared" ref="C119:N119" si="36">IF(C$5&gt;$C$3,0,C13-C63)</f>
        <v>35.80766857512981</v>
      </c>
      <c r="D119" s="57">
        <f t="shared" si="36"/>
        <v>-40.018361559144978</v>
      </c>
      <c r="E119" s="57">
        <f t="shared" si="36"/>
        <v>83.29017723789957</v>
      </c>
      <c r="F119" s="57">
        <f t="shared" si="36"/>
        <v>40.681672707664347</v>
      </c>
      <c r="G119" s="57">
        <f t="shared" si="36"/>
        <v>23.486137399443123</v>
      </c>
      <c r="H119" s="57">
        <f t="shared" si="36"/>
        <v>49.938142277518637</v>
      </c>
      <c r="I119" s="57">
        <f t="shared" si="36"/>
        <v>0</v>
      </c>
      <c r="J119" s="57">
        <f t="shared" si="36"/>
        <v>0</v>
      </c>
      <c r="K119" s="57">
        <f t="shared" si="36"/>
        <v>0</v>
      </c>
      <c r="L119" s="57">
        <f t="shared" si="36"/>
        <v>0</v>
      </c>
      <c r="M119" s="57">
        <f t="shared" si="36"/>
        <v>0</v>
      </c>
      <c r="N119" s="57">
        <f t="shared" si="36"/>
        <v>0</v>
      </c>
      <c r="O119" s="57">
        <f t="shared" ref="O119:O143" si="37">SUMIFS($C119:$N119,$C$5:$N$5,"&lt;="&amp;$C$3)</f>
        <v>193.18543663851051</v>
      </c>
      <c r="P119" s="35">
        <f t="shared" ref="P119:P143" si="38">IF(O63=0,0,O119/O63)</f>
        <v>9.100627831588699E-3</v>
      </c>
    </row>
    <row r="120" spans="1:16" x14ac:dyDescent="0.35">
      <c r="A120" s="5" t="s">
        <v>105</v>
      </c>
      <c r="B120" s="6" t="s">
        <v>104</v>
      </c>
      <c r="C120" s="20">
        <f t="shared" ref="C120:N120" si="39">IF(C$5&gt;$C$3,0,C64-C14)</f>
        <v>-14.039459458290139</v>
      </c>
      <c r="D120" s="20">
        <f t="shared" si="39"/>
        <v>-6.9566778366649942</v>
      </c>
      <c r="E120" s="20">
        <f t="shared" si="39"/>
        <v>-32.027288463748619</v>
      </c>
      <c r="F120" s="20">
        <f t="shared" si="39"/>
        <v>48.22590946062428</v>
      </c>
      <c r="G120" s="20">
        <f t="shared" si="39"/>
        <v>71.050875366172704</v>
      </c>
      <c r="H120" s="20">
        <f t="shared" si="39"/>
        <v>49.434976833969586</v>
      </c>
      <c r="I120" s="20">
        <f t="shared" si="39"/>
        <v>0</v>
      </c>
      <c r="J120" s="20">
        <f t="shared" si="39"/>
        <v>0</v>
      </c>
      <c r="K120" s="20">
        <f t="shared" si="39"/>
        <v>0</v>
      </c>
      <c r="L120" s="20">
        <f t="shared" si="39"/>
        <v>0</v>
      </c>
      <c r="M120" s="20">
        <f t="shared" si="39"/>
        <v>0</v>
      </c>
      <c r="N120" s="20">
        <f t="shared" si="39"/>
        <v>0</v>
      </c>
      <c r="O120" s="20">
        <f t="shared" si="37"/>
        <v>115.68833590206282</v>
      </c>
      <c r="P120" s="30">
        <f t="shared" si="38"/>
        <v>1.7580242069070915E-2</v>
      </c>
    </row>
    <row r="121" spans="1:16" x14ac:dyDescent="0.35">
      <c r="A121" s="32" t="s">
        <v>106</v>
      </c>
      <c r="B121" s="33" t="s">
        <v>104</v>
      </c>
      <c r="C121" s="57">
        <f t="shared" ref="C121:N121" si="40">IF(C$5&gt;$C$3,0,C15-C65)</f>
        <v>21.768209116839444</v>
      </c>
      <c r="D121" s="57">
        <f t="shared" si="40"/>
        <v>-46.975039395810199</v>
      </c>
      <c r="E121" s="57">
        <f t="shared" si="40"/>
        <v>51.262888774150724</v>
      </c>
      <c r="F121" s="57">
        <f t="shared" si="40"/>
        <v>88.907582168289082</v>
      </c>
      <c r="G121" s="57">
        <f t="shared" si="40"/>
        <v>94.537012765616055</v>
      </c>
      <c r="H121" s="57">
        <f t="shared" si="40"/>
        <v>99.37311911148845</v>
      </c>
      <c r="I121" s="57">
        <f t="shared" si="40"/>
        <v>0</v>
      </c>
      <c r="J121" s="57">
        <f t="shared" si="40"/>
        <v>0</v>
      </c>
      <c r="K121" s="57">
        <f t="shared" si="40"/>
        <v>0</v>
      </c>
      <c r="L121" s="57">
        <f t="shared" si="40"/>
        <v>0</v>
      </c>
      <c r="M121" s="57">
        <f t="shared" si="40"/>
        <v>0</v>
      </c>
      <c r="N121" s="57">
        <f t="shared" si="40"/>
        <v>0</v>
      </c>
      <c r="O121" s="57">
        <f t="shared" si="37"/>
        <v>308.87377254057355</v>
      </c>
      <c r="P121" s="35">
        <f t="shared" si="38"/>
        <v>2.1087685323189415E-2</v>
      </c>
    </row>
    <row r="122" spans="1:16" x14ac:dyDescent="0.35">
      <c r="A122" s="5" t="s">
        <v>110</v>
      </c>
      <c r="B122" s="6" t="s">
        <v>104</v>
      </c>
      <c r="C122" s="20">
        <f t="shared" ref="C122:N122" si="41">IF(C$5&gt;$C$3,0,C66-C18)</f>
        <v>-5.492402234636856</v>
      </c>
      <c r="D122" s="20">
        <f t="shared" si="41"/>
        <v>-5.7924022346368531</v>
      </c>
      <c r="E122" s="20">
        <f t="shared" si="41"/>
        <v>-5.8924022346368474</v>
      </c>
      <c r="F122" s="20">
        <f t="shared" si="41"/>
        <v>-6.2924022346368531</v>
      </c>
      <c r="G122" s="20">
        <f t="shared" si="41"/>
        <v>-6.2924022346368531</v>
      </c>
      <c r="H122" s="20">
        <f t="shared" si="41"/>
        <v>-6.4188156424580853</v>
      </c>
      <c r="I122" s="20">
        <f t="shared" si="41"/>
        <v>0</v>
      </c>
      <c r="J122" s="20">
        <f t="shared" si="41"/>
        <v>0</v>
      </c>
      <c r="K122" s="20">
        <f t="shared" si="41"/>
        <v>0</v>
      </c>
      <c r="L122" s="20">
        <f t="shared" si="41"/>
        <v>0</v>
      </c>
      <c r="M122" s="20">
        <f t="shared" si="41"/>
        <v>0</v>
      </c>
      <c r="N122" s="20">
        <f t="shared" si="41"/>
        <v>0</v>
      </c>
      <c r="O122" s="20">
        <f t="shared" si="37"/>
        <v>-36.180826815642348</v>
      </c>
      <c r="P122" s="30">
        <f t="shared" si="38"/>
        <v>-8.4216043123653772E-2</v>
      </c>
    </row>
    <row r="123" spans="1:16" x14ac:dyDescent="0.35">
      <c r="A123" s="5" t="s">
        <v>111</v>
      </c>
      <c r="B123" s="6" t="s">
        <v>104</v>
      </c>
      <c r="C123" s="20">
        <f t="shared" ref="C123:N123" si="42">IF(C$5&gt;$C$3,0,C67-C19)</f>
        <v>0.19618134274608678</v>
      </c>
      <c r="D123" s="20">
        <f t="shared" si="42"/>
        <v>4.7138698867743329</v>
      </c>
      <c r="E123" s="20">
        <f t="shared" si="42"/>
        <v>-2.8316730771369834</v>
      </c>
      <c r="F123" s="20">
        <f t="shared" si="42"/>
        <v>-18.771686181229938</v>
      </c>
      <c r="G123" s="20">
        <f t="shared" si="42"/>
        <v>-14.12733464198331</v>
      </c>
      <c r="H123" s="20">
        <f t="shared" si="42"/>
        <v>-16.748228048325558</v>
      </c>
      <c r="I123" s="20">
        <f t="shared" si="42"/>
        <v>0</v>
      </c>
      <c r="J123" s="20">
        <f t="shared" si="42"/>
        <v>0</v>
      </c>
      <c r="K123" s="20">
        <f t="shared" si="42"/>
        <v>0</v>
      </c>
      <c r="L123" s="20">
        <f t="shared" si="42"/>
        <v>0</v>
      </c>
      <c r="M123" s="20">
        <f t="shared" si="42"/>
        <v>0</v>
      </c>
      <c r="N123" s="20">
        <f t="shared" si="42"/>
        <v>0</v>
      </c>
      <c r="O123" s="20">
        <f t="shared" si="37"/>
        <v>-47.56887071915537</v>
      </c>
      <c r="P123" s="30">
        <f t="shared" si="38"/>
        <v>-7.4696208354126076E-2</v>
      </c>
    </row>
    <row r="124" spans="1:16" x14ac:dyDescent="0.35">
      <c r="A124" s="32" t="s">
        <v>112</v>
      </c>
      <c r="B124" s="33" t="s">
        <v>104</v>
      </c>
      <c r="C124" s="57">
        <f t="shared" ref="C124:N124" si="43">IF(C$5&gt;$C$3,0,C68-C20)</f>
        <v>-5.2962208918907834</v>
      </c>
      <c r="D124" s="57">
        <f t="shared" si="43"/>
        <v>-1.078532347862506</v>
      </c>
      <c r="E124" s="57">
        <f t="shared" si="43"/>
        <v>-8.7240753117738166</v>
      </c>
      <c r="F124" s="57">
        <f t="shared" si="43"/>
        <v>-25.064088415866792</v>
      </c>
      <c r="G124" s="57">
        <f t="shared" si="43"/>
        <v>-20.419736876620163</v>
      </c>
      <c r="H124" s="57">
        <f t="shared" si="43"/>
        <v>-23.167043690783629</v>
      </c>
      <c r="I124" s="57">
        <f t="shared" si="43"/>
        <v>0</v>
      </c>
      <c r="J124" s="57">
        <f t="shared" si="43"/>
        <v>0</v>
      </c>
      <c r="K124" s="57">
        <f t="shared" si="43"/>
        <v>0</v>
      </c>
      <c r="L124" s="57">
        <f t="shared" si="43"/>
        <v>0</v>
      </c>
      <c r="M124" s="57">
        <f t="shared" si="43"/>
        <v>0</v>
      </c>
      <c r="N124" s="57">
        <f t="shared" si="43"/>
        <v>0</v>
      </c>
      <c r="O124" s="57">
        <f t="shared" si="37"/>
        <v>-83.74969753479769</v>
      </c>
      <c r="P124" s="35">
        <f t="shared" si="38"/>
        <v>-7.8531270834845485E-2</v>
      </c>
    </row>
    <row r="125" spans="1:16" x14ac:dyDescent="0.35">
      <c r="A125" s="5" t="s">
        <v>113</v>
      </c>
      <c r="B125" s="6" t="s">
        <v>104</v>
      </c>
      <c r="C125" s="20">
        <f t="shared" ref="C125:N125" si="44">IF(C$5&gt;$C$3,0,C69-C21)</f>
        <v>0.8328859060402749</v>
      </c>
      <c r="D125" s="20">
        <f t="shared" si="44"/>
        <v>-0.26711409395973362</v>
      </c>
      <c r="E125" s="20">
        <f t="shared" si="44"/>
        <v>-6.7114093959730781E-2</v>
      </c>
      <c r="F125" s="20">
        <f t="shared" si="44"/>
        <v>0.53288590604026354</v>
      </c>
      <c r="G125" s="20">
        <f t="shared" si="44"/>
        <v>0.3328859060402749</v>
      </c>
      <c r="H125" s="20">
        <f t="shared" si="44"/>
        <v>-0.46711409395973646</v>
      </c>
      <c r="I125" s="20">
        <f t="shared" si="44"/>
        <v>0</v>
      </c>
      <c r="J125" s="20">
        <f t="shared" si="44"/>
        <v>0</v>
      </c>
      <c r="K125" s="20">
        <f t="shared" si="44"/>
        <v>0</v>
      </c>
      <c r="L125" s="20">
        <f t="shared" si="44"/>
        <v>0</v>
      </c>
      <c r="M125" s="20">
        <f t="shared" si="44"/>
        <v>0</v>
      </c>
      <c r="N125" s="20">
        <f t="shared" si="44"/>
        <v>0</v>
      </c>
      <c r="O125" s="20">
        <f t="shared" si="37"/>
        <v>0.89731543624161247</v>
      </c>
      <c r="P125" s="30">
        <f t="shared" si="38"/>
        <v>1.4817031274242554E-3</v>
      </c>
    </row>
    <row r="126" spans="1:16" x14ac:dyDescent="0.35">
      <c r="A126" s="5" t="s">
        <v>114</v>
      </c>
      <c r="B126" s="6" t="s">
        <v>104</v>
      </c>
      <c r="C126" s="20">
        <f t="shared" ref="C126:N126" si="45">IF(C$5&gt;$C$3,0,C70-C22)</f>
        <v>-6.0042317500000308</v>
      </c>
      <c r="D126" s="20">
        <f t="shared" si="45"/>
        <v>-2.1042317500000536</v>
      </c>
      <c r="E126" s="20">
        <f t="shared" si="45"/>
        <v>-26.45357180000002</v>
      </c>
      <c r="F126" s="20">
        <f t="shared" si="45"/>
        <v>-29.219798499999996</v>
      </c>
      <c r="G126" s="20">
        <f t="shared" si="45"/>
        <v>-29.004231750000031</v>
      </c>
      <c r="H126" s="20">
        <f t="shared" si="45"/>
        <v>-28.588664999999992</v>
      </c>
      <c r="I126" s="20">
        <f t="shared" si="45"/>
        <v>0</v>
      </c>
      <c r="J126" s="20">
        <f t="shared" si="45"/>
        <v>0</v>
      </c>
      <c r="K126" s="20">
        <f t="shared" si="45"/>
        <v>0</v>
      </c>
      <c r="L126" s="20">
        <f t="shared" si="45"/>
        <v>0</v>
      </c>
      <c r="M126" s="20">
        <f t="shared" si="45"/>
        <v>0</v>
      </c>
      <c r="N126" s="20">
        <f t="shared" si="45"/>
        <v>0</v>
      </c>
      <c r="O126" s="20">
        <f t="shared" si="37"/>
        <v>-121.37473055000012</v>
      </c>
      <c r="P126" s="30">
        <f t="shared" si="38"/>
        <v>-7.6915581074505662E-2</v>
      </c>
    </row>
    <row r="127" spans="1:16" x14ac:dyDescent="0.35">
      <c r="A127" s="5" t="s">
        <v>115</v>
      </c>
      <c r="B127" s="6" t="s">
        <v>104</v>
      </c>
      <c r="C127" s="20">
        <f t="shared" ref="C127:N127" si="46">IF(C$5&gt;$C$3,0,C71-C23)</f>
        <v>-1.3825000000000003</v>
      </c>
      <c r="D127" s="20">
        <f t="shared" si="46"/>
        <v>0.21750000000000114</v>
      </c>
      <c r="E127" s="20">
        <f t="shared" si="46"/>
        <v>-8.2499999999996021E-2</v>
      </c>
      <c r="F127" s="20">
        <f t="shared" si="46"/>
        <v>-69.482499999999987</v>
      </c>
      <c r="G127" s="20">
        <f t="shared" si="46"/>
        <v>-1.582499999999996</v>
      </c>
      <c r="H127" s="20">
        <f t="shared" si="46"/>
        <v>-0.38250000000000028</v>
      </c>
      <c r="I127" s="20">
        <f t="shared" si="46"/>
        <v>0</v>
      </c>
      <c r="J127" s="20">
        <f t="shared" si="46"/>
        <v>0</v>
      </c>
      <c r="K127" s="20">
        <f t="shared" si="46"/>
        <v>0</v>
      </c>
      <c r="L127" s="20">
        <f t="shared" si="46"/>
        <v>0</v>
      </c>
      <c r="M127" s="20">
        <f t="shared" si="46"/>
        <v>0</v>
      </c>
      <c r="N127" s="20">
        <f t="shared" si="46"/>
        <v>0</v>
      </c>
      <c r="O127" s="20">
        <f t="shared" si="37"/>
        <v>-72.694999999999993</v>
      </c>
      <c r="P127" s="30">
        <f t="shared" si="38"/>
        <v>-0.35305116437191908</v>
      </c>
    </row>
    <row r="128" spans="1:16" x14ac:dyDescent="0.35">
      <c r="A128" s="32" t="s">
        <v>116</v>
      </c>
      <c r="B128" s="33" t="s">
        <v>104</v>
      </c>
      <c r="C128" s="57">
        <f t="shared" ref="C128:N128" si="47">IF(C$5&gt;$C$3,0,C72-C24)</f>
        <v>-6.5538458439597775</v>
      </c>
      <c r="D128" s="57">
        <f t="shared" si="47"/>
        <v>-2.1538458439598003</v>
      </c>
      <c r="E128" s="57">
        <f t="shared" si="47"/>
        <v>-26.603185893959733</v>
      </c>
      <c r="F128" s="57">
        <f t="shared" si="47"/>
        <v>-98.169412593959748</v>
      </c>
      <c r="G128" s="57">
        <f t="shared" si="47"/>
        <v>-30.253845843959766</v>
      </c>
      <c r="H128" s="57">
        <f t="shared" si="47"/>
        <v>-29.438279093959693</v>
      </c>
      <c r="I128" s="57">
        <f t="shared" si="47"/>
        <v>0</v>
      </c>
      <c r="J128" s="57">
        <f t="shared" si="47"/>
        <v>0</v>
      </c>
      <c r="K128" s="57">
        <f t="shared" si="47"/>
        <v>0</v>
      </c>
      <c r="L128" s="57">
        <f t="shared" si="47"/>
        <v>0</v>
      </c>
      <c r="M128" s="57">
        <f t="shared" si="47"/>
        <v>0</v>
      </c>
      <c r="N128" s="57">
        <f t="shared" si="47"/>
        <v>0</v>
      </c>
      <c r="O128" s="57">
        <f t="shared" si="37"/>
        <v>-193.17241511375852</v>
      </c>
      <c r="P128" s="35">
        <f t="shared" si="38"/>
        <v>-8.0841257634175795E-2</v>
      </c>
    </row>
    <row r="129" spans="1:16" x14ac:dyDescent="0.35">
      <c r="A129" s="5" t="s">
        <v>117</v>
      </c>
      <c r="B129" s="6" t="s">
        <v>104</v>
      </c>
      <c r="C129" s="20">
        <f t="shared" ref="C129:N129" si="48">IF(C$5&gt;$C$3,0,C73-C25)</f>
        <v>0.34288659793814702</v>
      </c>
      <c r="D129" s="20">
        <f t="shared" si="48"/>
        <v>1.842886597938147</v>
      </c>
      <c r="E129" s="20">
        <f t="shared" si="48"/>
        <v>-0.95711340206185014</v>
      </c>
      <c r="F129" s="20">
        <f t="shared" si="48"/>
        <v>-5.5793814432988142E-2</v>
      </c>
      <c r="G129" s="20">
        <f t="shared" si="48"/>
        <v>0.34420618556701754</v>
      </c>
      <c r="H129" s="20">
        <f t="shared" si="48"/>
        <v>1.2442061855670232</v>
      </c>
      <c r="I129" s="20">
        <f t="shared" si="48"/>
        <v>0</v>
      </c>
      <c r="J129" s="20">
        <f t="shared" si="48"/>
        <v>0</v>
      </c>
      <c r="K129" s="20">
        <f t="shared" si="48"/>
        <v>0</v>
      </c>
      <c r="L129" s="20">
        <f t="shared" si="48"/>
        <v>0</v>
      </c>
      <c r="M129" s="20">
        <f t="shared" si="48"/>
        <v>0</v>
      </c>
      <c r="N129" s="20">
        <f t="shared" si="48"/>
        <v>0</v>
      </c>
      <c r="O129" s="20">
        <f t="shared" si="37"/>
        <v>2.7612783505154965</v>
      </c>
      <c r="P129" s="30">
        <f t="shared" si="38"/>
        <v>4.9783146188375526E-3</v>
      </c>
    </row>
    <row r="130" spans="1:16" x14ac:dyDescent="0.35">
      <c r="A130" s="5" t="s">
        <v>118</v>
      </c>
      <c r="B130" s="6" t="s">
        <v>104</v>
      </c>
      <c r="C130" s="20">
        <f t="shared" ref="C130:N130" si="49">IF(C$5&gt;$C$3,0,C74-C26)</f>
        <v>1.1226329563470472</v>
      </c>
      <c r="D130" s="20">
        <f t="shared" si="49"/>
        <v>16.099400855216004</v>
      </c>
      <c r="E130" s="20">
        <f t="shared" si="49"/>
        <v>3.8730096138516501</v>
      </c>
      <c r="F130" s="20">
        <f t="shared" si="49"/>
        <v>7.4695823678521265</v>
      </c>
      <c r="G130" s="20">
        <f t="shared" si="49"/>
        <v>-62.229231600880325</v>
      </c>
      <c r="H130" s="20">
        <f t="shared" si="49"/>
        <v>-137.77896767966649</v>
      </c>
      <c r="I130" s="20">
        <f t="shared" si="49"/>
        <v>0</v>
      </c>
      <c r="J130" s="20">
        <f t="shared" si="49"/>
        <v>0</v>
      </c>
      <c r="K130" s="20">
        <f t="shared" si="49"/>
        <v>0</v>
      </c>
      <c r="L130" s="20">
        <f t="shared" si="49"/>
        <v>0</v>
      </c>
      <c r="M130" s="20">
        <f t="shared" si="49"/>
        <v>0</v>
      </c>
      <c r="N130" s="20">
        <f t="shared" si="49"/>
        <v>0</v>
      </c>
      <c r="O130" s="20">
        <f t="shared" si="37"/>
        <v>-171.44357348727999</v>
      </c>
      <c r="P130" s="30">
        <f t="shared" si="38"/>
        <v>-3.7564682364480538E-2</v>
      </c>
    </row>
    <row r="131" spans="1:16" x14ac:dyDescent="0.35">
      <c r="A131" s="5" t="s">
        <v>119</v>
      </c>
      <c r="B131" s="6" t="s">
        <v>104</v>
      </c>
      <c r="C131" s="20">
        <f t="shared" ref="C131:N131" si="50">IF(C$5&gt;$C$3,0,C75-C27)</f>
        <v>-7.112728857512991</v>
      </c>
      <c r="D131" s="20">
        <f t="shared" si="50"/>
        <v>4.3462329559145019</v>
      </c>
      <c r="E131" s="20">
        <f t="shared" si="50"/>
        <v>-57.405576923789909</v>
      </c>
      <c r="F131" s="20">
        <f t="shared" si="50"/>
        <v>-40.572287270766424</v>
      </c>
      <c r="G131" s="20">
        <f t="shared" si="50"/>
        <v>-48.357782139944334</v>
      </c>
      <c r="H131" s="20">
        <f t="shared" si="50"/>
        <v>-48.227426827751799</v>
      </c>
      <c r="I131" s="20">
        <f t="shared" si="50"/>
        <v>0</v>
      </c>
      <c r="J131" s="20">
        <f t="shared" si="50"/>
        <v>0</v>
      </c>
      <c r="K131" s="20">
        <f t="shared" si="50"/>
        <v>0</v>
      </c>
      <c r="L131" s="20">
        <f t="shared" si="50"/>
        <v>0</v>
      </c>
      <c r="M131" s="20">
        <f t="shared" si="50"/>
        <v>0</v>
      </c>
      <c r="N131" s="20">
        <f t="shared" si="50"/>
        <v>0</v>
      </c>
      <c r="O131" s="20">
        <f t="shared" si="37"/>
        <v>-197.32956906385095</v>
      </c>
      <c r="P131" s="30">
        <f t="shared" si="38"/>
        <v>-9.2958506576157604E-2</v>
      </c>
    </row>
    <row r="132" spans="1:16" x14ac:dyDescent="0.35">
      <c r="A132" s="32" t="s">
        <v>120</v>
      </c>
      <c r="B132" s="33" t="s">
        <v>104</v>
      </c>
      <c r="C132" s="57">
        <f t="shared" ref="C132:N132" si="51">IF(C$5&gt;$C$3,0,C76-C28)</f>
        <v>-5.6472093032277826</v>
      </c>
      <c r="D132" s="57">
        <f t="shared" si="51"/>
        <v>22.288520409068724</v>
      </c>
      <c r="E132" s="57">
        <f t="shared" si="51"/>
        <v>-54.489680712000109</v>
      </c>
      <c r="F132" s="57">
        <f t="shared" si="51"/>
        <v>-33.158498717347356</v>
      </c>
      <c r="G132" s="57">
        <f t="shared" si="51"/>
        <v>-110.24280755525774</v>
      </c>
      <c r="H132" s="57">
        <f t="shared" si="51"/>
        <v>-184.762188321851</v>
      </c>
      <c r="I132" s="57">
        <f t="shared" si="51"/>
        <v>0</v>
      </c>
      <c r="J132" s="57">
        <f t="shared" si="51"/>
        <v>0</v>
      </c>
      <c r="K132" s="57">
        <f t="shared" si="51"/>
        <v>0</v>
      </c>
      <c r="L132" s="57">
        <f t="shared" si="51"/>
        <v>0</v>
      </c>
      <c r="M132" s="57">
        <f t="shared" si="51"/>
        <v>0</v>
      </c>
      <c r="N132" s="57">
        <f t="shared" si="51"/>
        <v>0</v>
      </c>
      <c r="O132" s="57">
        <f t="shared" si="37"/>
        <v>-366.01186420061526</v>
      </c>
      <c r="P132" s="35">
        <f t="shared" si="38"/>
        <v>-5.0544433931272878E-2</v>
      </c>
    </row>
    <row r="133" spans="1:16" x14ac:dyDescent="0.35">
      <c r="A133" s="5" t="s">
        <v>121</v>
      </c>
      <c r="B133" s="6" t="s">
        <v>104</v>
      </c>
      <c r="C133" s="20">
        <f t="shared" ref="C133:N133" si="52">IF(C$5&gt;$C$3,0,C77-C29)</f>
        <v>1.0120000000000005</v>
      </c>
      <c r="D133" s="20">
        <f t="shared" si="52"/>
        <v>1.1120000000000001</v>
      </c>
      <c r="E133" s="20">
        <f t="shared" si="52"/>
        <v>1.1120000000000001</v>
      </c>
      <c r="F133" s="20">
        <f t="shared" si="52"/>
        <v>1.1120000000000001</v>
      </c>
      <c r="G133" s="20">
        <f t="shared" si="52"/>
        <v>1.1120000000000001</v>
      </c>
      <c r="H133" s="20">
        <f t="shared" si="52"/>
        <v>0.1120000000000001</v>
      </c>
      <c r="I133" s="20">
        <f t="shared" si="52"/>
        <v>0</v>
      </c>
      <c r="J133" s="20">
        <f t="shared" si="52"/>
        <v>0</v>
      </c>
      <c r="K133" s="20">
        <f t="shared" si="52"/>
        <v>0</v>
      </c>
      <c r="L133" s="20">
        <f t="shared" si="52"/>
        <v>0</v>
      </c>
      <c r="M133" s="20">
        <f t="shared" si="52"/>
        <v>0</v>
      </c>
      <c r="N133" s="20">
        <f t="shared" si="52"/>
        <v>0</v>
      </c>
      <c r="O133" s="20">
        <f t="shared" si="37"/>
        <v>5.572000000000001</v>
      </c>
      <c r="P133" s="30">
        <f t="shared" si="38"/>
        <v>6.1861621813660193E-2</v>
      </c>
    </row>
    <row r="134" spans="1:16" x14ac:dyDescent="0.35">
      <c r="A134" s="5" t="s">
        <v>122</v>
      </c>
      <c r="B134" s="6" t="s">
        <v>104</v>
      </c>
      <c r="C134" s="20">
        <f t="shared" ref="C134:N134" si="53">IF(C$5&gt;$C$3,0,C78-C30)</f>
        <v>-7.6249999999998153E-2</v>
      </c>
      <c r="D134" s="20">
        <f t="shared" si="53"/>
        <v>0.92375000000000185</v>
      </c>
      <c r="E134" s="20">
        <f t="shared" si="53"/>
        <v>0.42375000000000185</v>
      </c>
      <c r="F134" s="20">
        <f t="shared" si="53"/>
        <v>-0.57624999999999815</v>
      </c>
      <c r="G134" s="20">
        <f t="shared" si="53"/>
        <v>0.12375000000000114</v>
      </c>
      <c r="H134" s="20">
        <f t="shared" si="53"/>
        <v>-7.6249999999998153E-2</v>
      </c>
      <c r="I134" s="20">
        <f t="shared" si="53"/>
        <v>0</v>
      </c>
      <c r="J134" s="20">
        <f t="shared" si="53"/>
        <v>0</v>
      </c>
      <c r="K134" s="20">
        <f t="shared" si="53"/>
        <v>0</v>
      </c>
      <c r="L134" s="20">
        <f t="shared" si="53"/>
        <v>0</v>
      </c>
      <c r="M134" s="20">
        <f t="shared" si="53"/>
        <v>0</v>
      </c>
      <c r="N134" s="20">
        <f t="shared" si="53"/>
        <v>0</v>
      </c>
      <c r="O134" s="20">
        <f t="shared" si="37"/>
        <v>0.74250000000001037</v>
      </c>
      <c r="P134" s="30">
        <f t="shared" si="38"/>
        <v>1.2223731324855091E-2</v>
      </c>
    </row>
    <row r="135" spans="1:16" x14ac:dyDescent="0.35">
      <c r="A135" s="32" t="s">
        <v>123</v>
      </c>
      <c r="B135" s="33" t="s">
        <v>104</v>
      </c>
      <c r="C135" s="57">
        <f t="shared" ref="C135:N135" si="54">IF(C$5&gt;$C$3,0,C79-C31)</f>
        <v>0.9357500000000023</v>
      </c>
      <c r="D135" s="57">
        <f t="shared" si="54"/>
        <v>2.0357500000000002</v>
      </c>
      <c r="E135" s="57">
        <f t="shared" si="54"/>
        <v>1.5357500000000002</v>
      </c>
      <c r="F135" s="57">
        <f t="shared" si="54"/>
        <v>0.53575000000000017</v>
      </c>
      <c r="G135" s="57">
        <f t="shared" si="54"/>
        <v>1.235750000000003</v>
      </c>
      <c r="H135" s="57">
        <f t="shared" si="54"/>
        <v>3.5750000000000171E-2</v>
      </c>
      <c r="I135" s="57">
        <f t="shared" si="54"/>
        <v>0</v>
      </c>
      <c r="J135" s="57">
        <f t="shared" si="54"/>
        <v>0</v>
      </c>
      <c r="K135" s="57">
        <f t="shared" si="54"/>
        <v>0</v>
      </c>
      <c r="L135" s="57">
        <f t="shared" si="54"/>
        <v>0</v>
      </c>
      <c r="M135" s="57">
        <f t="shared" si="54"/>
        <v>0</v>
      </c>
      <c r="N135" s="57">
        <f t="shared" si="54"/>
        <v>0</v>
      </c>
      <c r="O135" s="57">
        <f t="shared" si="37"/>
        <v>6.314500000000006</v>
      </c>
      <c r="P135" s="35">
        <f t="shared" si="38"/>
        <v>4.1869316279270263E-2</v>
      </c>
    </row>
    <row r="136" spans="1:16" x14ac:dyDescent="0.35">
      <c r="A136" s="5" t="s">
        <v>124</v>
      </c>
      <c r="B136" s="6" t="s">
        <v>104</v>
      </c>
      <c r="C136" s="20">
        <f t="shared" ref="C136:N136" si="55">IF(C$5&gt;$C$3,0,C80-C32)</f>
        <v>0.56619354838710478</v>
      </c>
      <c r="D136" s="20">
        <f t="shared" si="55"/>
        <v>0.26619354838710763</v>
      </c>
      <c r="E136" s="20">
        <f t="shared" si="55"/>
        <v>-1.1338064516128981</v>
      </c>
      <c r="F136" s="20">
        <f t="shared" si="55"/>
        <v>-0.69664516129031995</v>
      </c>
      <c r="G136" s="20">
        <f t="shared" si="55"/>
        <v>0.70335483870968574</v>
      </c>
      <c r="H136" s="20">
        <f t="shared" si="55"/>
        <v>-1.2966451612903143</v>
      </c>
      <c r="I136" s="20">
        <f t="shared" si="55"/>
        <v>0</v>
      </c>
      <c r="J136" s="20">
        <f t="shared" si="55"/>
        <v>0</v>
      </c>
      <c r="K136" s="20">
        <f t="shared" si="55"/>
        <v>0</v>
      </c>
      <c r="L136" s="20">
        <f t="shared" si="55"/>
        <v>0</v>
      </c>
      <c r="M136" s="20">
        <f t="shared" si="55"/>
        <v>0</v>
      </c>
      <c r="N136" s="20">
        <f t="shared" si="55"/>
        <v>0</v>
      </c>
      <c r="O136" s="20">
        <f t="shared" si="37"/>
        <v>-1.5913548387096341</v>
      </c>
      <c r="P136" s="30">
        <f t="shared" si="38"/>
        <v>-2.7517396670869499E-3</v>
      </c>
    </row>
    <row r="137" spans="1:16" x14ac:dyDescent="0.35">
      <c r="A137" s="5" t="s">
        <v>125</v>
      </c>
      <c r="B137" s="6" t="s">
        <v>104</v>
      </c>
      <c r="C137" s="20">
        <f t="shared" ref="C137:N137" si="56">IF(C$5&gt;$C$3,0,C81-C33)</f>
        <v>1.0666666666679703E-2</v>
      </c>
      <c r="D137" s="20">
        <f t="shared" si="56"/>
        <v>1.5106666666666797</v>
      </c>
      <c r="E137" s="20">
        <f t="shared" si="56"/>
        <v>-86.189333333333323</v>
      </c>
      <c r="F137" s="20">
        <f t="shared" si="56"/>
        <v>2.1106666666666811</v>
      </c>
      <c r="G137" s="20">
        <f t="shared" si="56"/>
        <v>1.0666666666679703E-2</v>
      </c>
      <c r="H137" s="20">
        <f t="shared" si="56"/>
        <v>1.310666666666684</v>
      </c>
      <c r="I137" s="20">
        <f t="shared" si="56"/>
        <v>0</v>
      </c>
      <c r="J137" s="20">
        <f t="shared" si="56"/>
        <v>0</v>
      </c>
      <c r="K137" s="20">
        <f t="shared" si="56"/>
        <v>0</v>
      </c>
      <c r="L137" s="20">
        <f t="shared" si="56"/>
        <v>0</v>
      </c>
      <c r="M137" s="20">
        <f t="shared" si="56"/>
        <v>0</v>
      </c>
      <c r="N137" s="20">
        <f t="shared" si="56"/>
        <v>0</v>
      </c>
      <c r="O137" s="20">
        <f t="shared" si="37"/>
        <v>-81.235999999999905</v>
      </c>
      <c r="P137" s="30">
        <f t="shared" si="38"/>
        <v>-0.25932121150211923</v>
      </c>
    </row>
    <row r="138" spans="1:16" x14ac:dyDescent="0.35">
      <c r="A138" s="32" t="s">
        <v>126</v>
      </c>
      <c r="B138" s="33" t="s">
        <v>104</v>
      </c>
      <c r="C138" s="57">
        <f t="shared" ref="C138:N138" si="57">IF(C$5&gt;$C$3,0,C82-C34)</f>
        <v>0.57686021505378449</v>
      </c>
      <c r="D138" s="57">
        <f t="shared" si="57"/>
        <v>1.7768602150537731</v>
      </c>
      <c r="E138" s="57">
        <f t="shared" si="57"/>
        <v>-87.32313978494625</v>
      </c>
      <c r="F138" s="57">
        <f t="shared" si="57"/>
        <v>1.4140215053763541</v>
      </c>
      <c r="G138" s="57">
        <f t="shared" si="57"/>
        <v>0.71402150537636544</v>
      </c>
      <c r="H138" s="57">
        <f t="shared" si="57"/>
        <v>1.4021505376348387E-2</v>
      </c>
      <c r="I138" s="57">
        <f t="shared" si="57"/>
        <v>0</v>
      </c>
      <c r="J138" s="57">
        <f t="shared" si="57"/>
        <v>0</v>
      </c>
      <c r="K138" s="57">
        <f t="shared" si="57"/>
        <v>0</v>
      </c>
      <c r="L138" s="57">
        <f t="shared" si="57"/>
        <v>0</v>
      </c>
      <c r="M138" s="57">
        <f t="shared" si="57"/>
        <v>0</v>
      </c>
      <c r="N138" s="57">
        <f t="shared" si="57"/>
        <v>0</v>
      </c>
      <c r="O138" s="57">
        <f t="shared" si="37"/>
        <v>-82.827354838709624</v>
      </c>
      <c r="P138" s="35">
        <f t="shared" si="38"/>
        <v>-9.2900287248859792E-2</v>
      </c>
    </row>
    <row r="139" spans="1:16" x14ac:dyDescent="0.35">
      <c r="A139" s="5" t="s">
        <v>127</v>
      </c>
      <c r="B139" s="6" t="s">
        <v>104</v>
      </c>
      <c r="C139" s="20">
        <f t="shared" ref="C139:N139" si="58">IF(C$5&gt;$C$3,0,C83-C35)</f>
        <v>-0.18800000000000949</v>
      </c>
      <c r="D139" s="20">
        <f t="shared" si="58"/>
        <v>0.21199999999998909</v>
      </c>
      <c r="E139" s="20">
        <f t="shared" si="58"/>
        <v>0.31199999999999051</v>
      </c>
      <c r="F139" s="20">
        <f t="shared" si="58"/>
        <v>0.21199999999998909</v>
      </c>
      <c r="G139" s="20">
        <f t="shared" si="58"/>
        <v>0.11199999999998766</v>
      </c>
      <c r="H139" s="20">
        <f t="shared" si="58"/>
        <v>0.11199999999998766</v>
      </c>
      <c r="I139" s="20">
        <f t="shared" si="58"/>
        <v>0</v>
      </c>
      <c r="J139" s="20">
        <f t="shared" si="58"/>
        <v>0</v>
      </c>
      <c r="K139" s="20">
        <f t="shared" si="58"/>
        <v>0</v>
      </c>
      <c r="L139" s="20">
        <f t="shared" si="58"/>
        <v>0</v>
      </c>
      <c r="M139" s="20">
        <f t="shared" si="58"/>
        <v>0</v>
      </c>
      <c r="N139" s="20">
        <f t="shared" si="58"/>
        <v>0</v>
      </c>
      <c r="O139" s="20">
        <f t="shared" si="37"/>
        <v>0.77199999999993452</v>
      </c>
      <c r="P139" s="30">
        <f t="shared" si="38"/>
        <v>3.2729616062946629E-3</v>
      </c>
    </row>
    <row r="140" spans="1:16" x14ac:dyDescent="0.35">
      <c r="A140" s="5" t="s">
        <v>128</v>
      </c>
      <c r="B140" s="6" t="s">
        <v>104</v>
      </c>
      <c r="C140" s="20">
        <f t="shared" ref="C140:N140" si="59">IF(C$5&gt;$C$3,0,C84-C36)</f>
        <v>2.4718333333333433</v>
      </c>
      <c r="D140" s="20">
        <f t="shared" si="59"/>
        <v>-1.9281666666666553</v>
      </c>
      <c r="E140" s="20">
        <f t="shared" si="59"/>
        <v>-0.1281666666666581</v>
      </c>
      <c r="F140" s="20">
        <f t="shared" si="59"/>
        <v>-1.2281666666666524</v>
      </c>
      <c r="G140" s="20">
        <f t="shared" si="59"/>
        <v>-2.1281666666666581</v>
      </c>
      <c r="H140" s="20">
        <f t="shared" si="59"/>
        <v>-0.42816666666665526</v>
      </c>
      <c r="I140" s="20">
        <f t="shared" si="59"/>
        <v>0</v>
      </c>
      <c r="J140" s="20">
        <f t="shared" si="59"/>
        <v>0</v>
      </c>
      <c r="K140" s="20">
        <f t="shared" si="59"/>
        <v>0</v>
      </c>
      <c r="L140" s="20">
        <f t="shared" si="59"/>
        <v>0</v>
      </c>
      <c r="M140" s="20">
        <f t="shared" si="59"/>
        <v>0</v>
      </c>
      <c r="N140" s="20">
        <f t="shared" si="59"/>
        <v>0</v>
      </c>
      <c r="O140" s="20">
        <f t="shared" si="37"/>
        <v>-3.3689999999999358</v>
      </c>
      <c r="P140" s="30">
        <f t="shared" si="38"/>
        <v>-9.0459709315280808E-3</v>
      </c>
    </row>
    <row r="141" spans="1:16" x14ac:dyDescent="0.35">
      <c r="A141" s="32" t="s">
        <v>129</v>
      </c>
      <c r="B141" s="33" t="s">
        <v>104</v>
      </c>
      <c r="C141" s="57">
        <f t="shared" ref="C141:N141" si="60">IF(C$5&gt;$C$3,0,C85-C37)</f>
        <v>2.283833333333348</v>
      </c>
      <c r="D141" s="57">
        <f t="shared" si="60"/>
        <v>-1.716166666666652</v>
      </c>
      <c r="E141" s="57">
        <f t="shared" si="60"/>
        <v>0.18383333333333951</v>
      </c>
      <c r="F141" s="57">
        <f t="shared" si="60"/>
        <v>-1.0161666666666633</v>
      </c>
      <c r="G141" s="57">
        <f t="shared" si="60"/>
        <v>-2.0161666666666633</v>
      </c>
      <c r="H141" s="57">
        <f t="shared" si="60"/>
        <v>-0.31616666666666049</v>
      </c>
      <c r="I141" s="57">
        <f t="shared" si="60"/>
        <v>0</v>
      </c>
      <c r="J141" s="57">
        <f t="shared" si="60"/>
        <v>0</v>
      </c>
      <c r="K141" s="57">
        <f t="shared" si="60"/>
        <v>0</v>
      </c>
      <c r="L141" s="57">
        <f t="shared" si="60"/>
        <v>0</v>
      </c>
      <c r="M141" s="57">
        <f t="shared" si="60"/>
        <v>0</v>
      </c>
      <c r="N141" s="57">
        <f t="shared" si="60"/>
        <v>0</v>
      </c>
      <c r="O141" s="57">
        <f t="shared" si="37"/>
        <v>-2.5969999999999516</v>
      </c>
      <c r="P141" s="35">
        <f t="shared" si="38"/>
        <v>-4.269253973759708E-3</v>
      </c>
    </row>
    <row r="142" spans="1:16" x14ac:dyDescent="0.35">
      <c r="A142" s="32" t="s">
        <v>131</v>
      </c>
      <c r="B142" s="33" t="s">
        <v>104</v>
      </c>
      <c r="C142" s="57">
        <f t="shared" ref="C142:N142" si="61">IF(C$5&gt;$C$3,0,C86-C39)</f>
        <v>-13.700832490691027</v>
      </c>
      <c r="D142" s="57">
        <f t="shared" si="61"/>
        <v>21.152585765634058</v>
      </c>
      <c r="E142" s="57">
        <f t="shared" si="61"/>
        <v>-175.42049836934643</v>
      </c>
      <c r="F142" s="57">
        <f t="shared" si="61"/>
        <v>-155.45839488846423</v>
      </c>
      <c r="G142" s="57">
        <f t="shared" si="61"/>
        <v>-160.98278543712831</v>
      </c>
      <c r="H142" s="57">
        <f t="shared" si="61"/>
        <v>-237.63390626788487</v>
      </c>
      <c r="I142" s="57">
        <f t="shared" si="61"/>
        <v>0</v>
      </c>
      <c r="J142" s="57">
        <f t="shared" si="61"/>
        <v>0</v>
      </c>
      <c r="K142" s="57">
        <f t="shared" si="61"/>
        <v>0</v>
      </c>
      <c r="L142" s="57">
        <f t="shared" si="61"/>
        <v>0</v>
      </c>
      <c r="M142" s="57">
        <f t="shared" si="61"/>
        <v>0</v>
      </c>
      <c r="N142" s="57">
        <f t="shared" si="61"/>
        <v>0</v>
      </c>
      <c r="O142" s="57">
        <f t="shared" si="37"/>
        <v>-722.04383168788081</v>
      </c>
      <c r="P142" s="35">
        <f t="shared" si="38"/>
        <v>-5.8474291163398424E-2</v>
      </c>
    </row>
    <row r="143" spans="1:16" x14ac:dyDescent="0.35">
      <c r="A143" s="32" t="s">
        <v>132</v>
      </c>
      <c r="B143" s="33" t="s">
        <v>104</v>
      </c>
      <c r="C143" s="57">
        <f t="shared" ref="C143:N143" si="62">IF(C$5&gt;$C$3,0,C40-C87)</f>
        <v>8.0673766261484161</v>
      </c>
      <c r="D143" s="57">
        <f t="shared" si="62"/>
        <v>-25.822453630176142</v>
      </c>
      <c r="E143" s="57">
        <f t="shared" si="62"/>
        <v>-124.15760959519571</v>
      </c>
      <c r="F143" s="57">
        <f t="shared" si="62"/>
        <v>-66.550812720175145</v>
      </c>
      <c r="G143" s="57">
        <f t="shared" si="62"/>
        <v>-66.445772671512259</v>
      </c>
      <c r="H143" s="57">
        <f t="shared" si="62"/>
        <v>-138.26078715639642</v>
      </c>
      <c r="I143" s="57">
        <f t="shared" si="62"/>
        <v>0</v>
      </c>
      <c r="J143" s="57">
        <f t="shared" si="62"/>
        <v>0</v>
      </c>
      <c r="K143" s="57">
        <f t="shared" si="62"/>
        <v>0</v>
      </c>
      <c r="L143" s="57">
        <f t="shared" si="62"/>
        <v>0</v>
      </c>
      <c r="M143" s="57">
        <f t="shared" si="62"/>
        <v>0</v>
      </c>
      <c r="N143" s="57">
        <f t="shared" si="62"/>
        <v>0</v>
      </c>
      <c r="O143" s="57">
        <f t="shared" si="37"/>
        <v>-413.17005914730726</v>
      </c>
      <c r="P143" s="35">
        <f t="shared" si="38"/>
        <v>-0.179712619142082</v>
      </c>
    </row>
    <row r="145" spans="1:16" x14ac:dyDescent="0.35">
      <c r="A145" s="7" t="s">
        <v>252</v>
      </c>
      <c r="B145" s="8"/>
      <c r="C145" s="8"/>
      <c r="D145" s="8"/>
      <c r="E145" s="8"/>
      <c r="F145" s="8"/>
      <c r="G145" s="8"/>
      <c r="H145" s="8"/>
      <c r="I145" s="8"/>
      <c r="J145" s="8"/>
      <c r="K145" s="8"/>
      <c r="L145" s="8"/>
      <c r="M145" s="8"/>
      <c r="N145" s="8"/>
      <c r="O145" s="8"/>
      <c r="P145" s="8"/>
    </row>
    <row r="146" spans="1:16" x14ac:dyDescent="0.35">
      <c r="A146" s="32" t="s">
        <v>103</v>
      </c>
      <c r="B146" s="33" t="s">
        <v>104</v>
      </c>
      <c r="C146" s="57">
        <f t="shared" ref="C146:N146" si="63">IF(C$5&gt;$C$3,0,C13-C92)</f>
        <v>35.80766857512981</v>
      </c>
      <c r="D146" s="57">
        <f t="shared" si="63"/>
        <v>-40.018361559144978</v>
      </c>
      <c r="E146" s="57">
        <f t="shared" si="63"/>
        <v>83.29017723789957</v>
      </c>
      <c r="F146" s="57">
        <f t="shared" si="63"/>
        <v>40.681672707664347</v>
      </c>
      <c r="G146" s="57">
        <f t="shared" si="63"/>
        <v>23.486137399443123</v>
      </c>
      <c r="H146" s="57">
        <f t="shared" si="63"/>
        <v>49.938142277518637</v>
      </c>
      <c r="I146" s="57">
        <f t="shared" si="63"/>
        <v>0</v>
      </c>
      <c r="J146" s="57">
        <f t="shared" si="63"/>
        <v>0</v>
      </c>
      <c r="K146" s="57">
        <f t="shared" si="63"/>
        <v>0</v>
      </c>
      <c r="L146" s="57">
        <f t="shared" si="63"/>
        <v>0</v>
      </c>
      <c r="M146" s="57">
        <f t="shared" si="63"/>
        <v>0</v>
      </c>
      <c r="N146" s="57">
        <f t="shared" si="63"/>
        <v>0</v>
      </c>
      <c r="O146" s="57">
        <f t="shared" ref="O146:O170" si="64">SUMIFS($C146:$N146,$C$5:$N$5,"&lt;="&amp;$C$3)</f>
        <v>193.18543663851051</v>
      </c>
      <c r="P146" s="35">
        <f t="shared" ref="P146:P170" si="65">IF(O92=0,0,O146/O92)</f>
        <v>9.100627831588699E-3</v>
      </c>
    </row>
    <row r="147" spans="1:16" x14ac:dyDescent="0.35">
      <c r="A147" s="5" t="s">
        <v>105</v>
      </c>
      <c r="B147" s="6" t="s">
        <v>104</v>
      </c>
      <c r="C147" s="20">
        <f t="shared" ref="C147:N147" si="66">IF(C$5&gt;$C$3,0,C93-C14)</f>
        <v>-2.9390821999998025</v>
      </c>
      <c r="D147" s="20">
        <f t="shared" si="66"/>
        <v>-19.362369919999992</v>
      </c>
      <c r="E147" s="20">
        <f t="shared" si="66"/>
        <v>-6.2073335199997928</v>
      </c>
      <c r="F147" s="20">
        <f t="shared" si="66"/>
        <v>60.837228000000096</v>
      </c>
      <c r="G147" s="20">
        <f t="shared" si="66"/>
        <v>78.331577960000004</v>
      </c>
      <c r="H147" s="20">
        <f t="shared" si="66"/>
        <v>64.915800940000281</v>
      </c>
      <c r="I147" s="20">
        <f t="shared" si="66"/>
        <v>0</v>
      </c>
      <c r="J147" s="20">
        <f t="shared" si="66"/>
        <v>0</v>
      </c>
      <c r="K147" s="20">
        <f t="shared" si="66"/>
        <v>0</v>
      </c>
      <c r="L147" s="20">
        <f t="shared" si="66"/>
        <v>0</v>
      </c>
      <c r="M147" s="20">
        <f t="shared" si="66"/>
        <v>0</v>
      </c>
      <c r="N147" s="20">
        <f t="shared" si="66"/>
        <v>0</v>
      </c>
      <c r="O147" s="20">
        <f t="shared" si="64"/>
        <v>175.57582126000079</v>
      </c>
      <c r="P147" s="30">
        <f t="shared" si="65"/>
        <v>2.6440247052459873E-2</v>
      </c>
    </row>
    <row r="148" spans="1:16" x14ac:dyDescent="0.35">
      <c r="A148" s="32" t="s">
        <v>106</v>
      </c>
      <c r="B148" s="33" t="s">
        <v>104</v>
      </c>
      <c r="C148" s="57">
        <f t="shared" ref="C148:N148" si="67">IF(C$5&gt;$C$3,0,C15-C94)</f>
        <v>32.86858637512978</v>
      </c>
      <c r="D148" s="57">
        <f t="shared" si="67"/>
        <v>-59.380731479144742</v>
      </c>
      <c r="E148" s="57">
        <f t="shared" si="67"/>
        <v>77.082843717899777</v>
      </c>
      <c r="F148" s="57">
        <f t="shared" si="67"/>
        <v>101.51890070766467</v>
      </c>
      <c r="G148" s="57">
        <f t="shared" si="67"/>
        <v>101.81771535944335</v>
      </c>
      <c r="H148" s="57">
        <f t="shared" si="67"/>
        <v>114.85394321751937</v>
      </c>
      <c r="I148" s="57">
        <f t="shared" si="67"/>
        <v>0</v>
      </c>
      <c r="J148" s="57">
        <f t="shared" si="67"/>
        <v>0</v>
      </c>
      <c r="K148" s="57">
        <f t="shared" si="67"/>
        <v>0</v>
      </c>
      <c r="L148" s="57">
        <f t="shared" si="67"/>
        <v>0</v>
      </c>
      <c r="M148" s="57">
        <f t="shared" si="67"/>
        <v>0</v>
      </c>
      <c r="N148" s="57">
        <f t="shared" si="67"/>
        <v>0</v>
      </c>
      <c r="O148" s="57">
        <f t="shared" si="64"/>
        <v>368.76125789851221</v>
      </c>
      <c r="P148" s="35">
        <f t="shared" si="65"/>
        <v>2.5279734131764878E-2</v>
      </c>
    </row>
    <row r="149" spans="1:16" x14ac:dyDescent="0.35">
      <c r="A149" s="5" t="s">
        <v>110</v>
      </c>
      <c r="B149" s="6" t="s">
        <v>104</v>
      </c>
      <c r="C149" s="20">
        <f t="shared" ref="C149:N149" si="68">IF(C$5&gt;$C$3,0,C95-C18)</f>
        <v>-5.492402234636856</v>
      </c>
      <c r="D149" s="20">
        <f t="shared" si="68"/>
        <v>-5.7924022346368531</v>
      </c>
      <c r="E149" s="20">
        <f t="shared" si="68"/>
        <v>-5.8924022346368474</v>
      </c>
      <c r="F149" s="20">
        <f t="shared" si="68"/>
        <v>-6.2924022346368531</v>
      </c>
      <c r="G149" s="20">
        <f t="shared" si="68"/>
        <v>-6.2924022346368531</v>
      </c>
      <c r="H149" s="20">
        <f t="shared" si="68"/>
        <v>-6.4188156424580853</v>
      </c>
      <c r="I149" s="20">
        <f t="shared" si="68"/>
        <v>0</v>
      </c>
      <c r="J149" s="20">
        <f t="shared" si="68"/>
        <v>0</v>
      </c>
      <c r="K149" s="20">
        <f t="shared" si="68"/>
        <v>0</v>
      </c>
      <c r="L149" s="20">
        <f t="shared" si="68"/>
        <v>0</v>
      </c>
      <c r="M149" s="20">
        <f t="shared" si="68"/>
        <v>0</v>
      </c>
      <c r="N149" s="20">
        <f t="shared" si="68"/>
        <v>0</v>
      </c>
      <c r="O149" s="20">
        <f t="shared" si="64"/>
        <v>-36.180826815642348</v>
      </c>
      <c r="P149" s="30">
        <f t="shared" si="65"/>
        <v>-8.4216043123653772E-2</v>
      </c>
    </row>
    <row r="150" spans="1:16" x14ac:dyDescent="0.35">
      <c r="A150" s="5" t="s">
        <v>111</v>
      </c>
      <c r="B150" s="6" t="s">
        <v>104</v>
      </c>
      <c r="C150" s="20">
        <f t="shared" ref="C150:N150" si="69">IF(C$5&gt;$C$3,0,C96-C19)</f>
        <v>1.2704113999999862</v>
      </c>
      <c r="D150" s="20">
        <f t="shared" si="69"/>
        <v>3.5133190399999847</v>
      </c>
      <c r="E150" s="20">
        <f t="shared" si="69"/>
        <v>-0.3329677600000025</v>
      </c>
      <c r="F150" s="20">
        <f t="shared" si="69"/>
        <v>-17.551236000000017</v>
      </c>
      <c r="G150" s="20">
        <f t="shared" si="69"/>
        <v>-13.422750520000008</v>
      </c>
      <c r="H150" s="20">
        <f t="shared" si="69"/>
        <v>-15.250083779999997</v>
      </c>
      <c r="I150" s="20">
        <f t="shared" si="69"/>
        <v>0</v>
      </c>
      <c r="J150" s="20">
        <f t="shared" si="69"/>
        <v>0</v>
      </c>
      <c r="K150" s="20">
        <f t="shared" si="69"/>
        <v>0</v>
      </c>
      <c r="L150" s="20">
        <f t="shared" si="69"/>
        <v>0</v>
      </c>
      <c r="M150" s="20">
        <f t="shared" si="69"/>
        <v>0</v>
      </c>
      <c r="N150" s="20">
        <f t="shared" si="69"/>
        <v>0</v>
      </c>
      <c r="O150" s="20">
        <f t="shared" si="64"/>
        <v>-41.773307620000054</v>
      </c>
      <c r="P150" s="30">
        <f t="shared" si="65"/>
        <v>-6.500400328111261E-2</v>
      </c>
    </row>
    <row r="151" spans="1:16" x14ac:dyDescent="0.35">
      <c r="A151" s="32" t="s">
        <v>112</v>
      </c>
      <c r="B151" s="33" t="s">
        <v>104</v>
      </c>
      <c r="C151" s="57">
        <f t="shared" ref="C151:N151" si="70">IF(C$5&gt;$C$3,0,C97-C20)</f>
        <v>-4.2219908346368697</v>
      </c>
      <c r="D151" s="57">
        <f t="shared" si="70"/>
        <v>-2.2790831946368826</v>
      </c>
      <c r="E151" s="57">
        <f t="shared" si="70"/>
        <v>-6.2253699946368499</v>
      </c>
      <c r="F151" s="57">
        <f t="shared" si="70"/>
        <v>-23.84363823463687</v>
      </c>
      <c r="G151" s="57">
        <f t="shared" si="70"/>
        <v>-19.715152754636875</v>
      </c>
      <c r="H151" s="57">
        <f t="shared" si="70"/>
        <v>-21.668899422458082</v>
      </c>
      <c r="I151" s="57">
        <f t="shared" si="70"/>
        <v>0</v>
      </c>
      <c r="J151" s="57">
        <f t="shared" si="70"/>
        <v>0</v>
      </c>
      <c r="K151" s="57">
        <f t="shared" si="70"/>
        <v>0</v>
      </c>
      <c r="L151" s="57">
        <f t="shared" si="70"/>
        <v>0</v>
      </c>
      <c r="M151" s="57">
        <f t="shared" si="70"/>
        <v>0</v>
      </c>
      <c r="N151" s="57">
        <f t="shared" si="70"/>
        <v>0</v>
      </c>
      <c r="O151" s="57">
        <f t="shared" si="64"/>
        <v>-77.95413443564243</v>
      </c>
      <c r="P151" s="35">
        <f t="shared" si="65"/>
        <v>-7.2701734685274494E-2</v>
      </c>
    </row>
    <row r="152" spans="1:16" x14ac:dyDescent="0.35">
      <c r="A152" s="5" t="s">
        <v>113</v>
      </c>
      <c r="B152" s="6" t="s">
        <v>104</v>
      </c>
      <c r="C152" s="20">
        <f t="shared" ref="C152:N152" si="71">IF(C$5&gt;$C$3,0,C98-C21)</f>
        <v>0.8328859060402749</v>
      </c>
      <c r="D152" s="20">
        <f t="shared" si="71"/>
        <v>-0.26711409395973362</v>
      </c>
      <c r="E152" s="20">
        <f t="shared" si="71"/>
        <v>-6.7114093959730781E-2</v>
      </c>
      <c r="F152" s="20">
        <f t="shared" si="71"/>
        <v>0.53288590604026354</v>
      </c>
      <c r="G152" s="20">
        <f t="shared" si="71"/>
        <v>0.3328859060402749</v>
      </c>
      <c r="H152" s="20">
        <f t="shared" si="71"/>
        <v>-0.46711409395973646</v>
      </c>
      <c r="I152" s="20">
        <f t="shared" si="71"/>
        <v>0</v>
      </c>
      <c r="J152" s="20">
        <f t="shared" si="71"/>
        <v>0</v>
      </c>
      <c r="K152" s="20">
        <f t="shared" si="71"/>
        <v>0</v>
      </c>
      <c r="L152" s="20">
        <f t="shared" si="71"/>
        <v>0</v>
      </c>
      <c r="M152" s="20">
        <f t="shared" si="71"/>
        <v>0</v>
      </c>
      <c r="N152" s="20">
        <f t="shared" si="71"/>
        <v>0</v>
      </c>
      <c r="O152" s="20">
        <f t="shared" si="64"/>
        <v>0.89731543624161247</v>
      </c>
      <c r="P152" s="30">
        <f t="shared" si="65"/>
        <v>1.4817031274242554E-3</v>
      </c>
    </row>
    <row r="153" spans="1:16" x14ac:dyDescent="0.35">
      <c r="A153" s="5" t="s">
        <v>114</v>
      </c>
      <c r="B153" s="6" t="s">
        <v>104</v>
      </c>
      <c r="C153" s="20">
        <f t="shared" ref="C153:N153" si="72">IF(C$5&gt;$C$3,0,C99-C22)</f>
        <v>-2.8290036632757847</v>
      </c>
      <c r="D153" s="20">
        <f t="shared" si="72"/>
        <v>-2.9529691157388243</v>
      </c>
      <c r="E153" s="20">
        <f t="shared" si="72"/>
        <v>-20.374850279639304</v>
      </c>
      <c r="F153" s="20">
        <f t="shared" si="72"/>
        <v>-23.586526257848789</v>
      </c>
      <c r="G153" s="20">
        <f t="shared" si="72"/>
        <v>-23.638241825944419</v>
      </c>
      <c r="H153" s="20">
        <f t="shared" si="72"/>
        <v>-21.963157686107195</v>
      </c>
      <c r="I153" s="20">
        <f t="shared" si="72"/>
        <v>0</v>
      </c>
      <c r="J153" s="20">
        <f t="shared" si="72"/>
        <v>0</v>
      </c>
      <c r="K153" s="20">
        <f t="shared" si="72"/>
        <v>0</v>
      </c>
      <c r="L153" s="20">
        <f t="shared" si="72"/>
        <v>0</v>
      </c>
      <c r="M153" s="20">
        <f t="shared" si="72"/>
        <v>0</v>
      </c>
      <c r="N153" s="20">
        <f t="shared" si="72"/>
        <v>0</v>
      </c>
      <c r="O153" s="20">
        <f t="shared" si="64"/>
        <v>-95.344748828554316</v>
      </c>
      <c r="P153" s="30">
        <f t="shared" si="65"/>
        <v>-5.9439815903425897E-2</v>
      </c>
    </row>
    <row r="154" spans="1:16" x14ac:dyDescent="0.35">
      <c r="A154" s="5" t="s">
        <v>115</v>
      </c>
      <c r="B154" s="6" t="s">
        <v>104</v>
      </c>
      <c r="C154" s="20">
        <f t="shared" ref="C154:N154" si="73">IF(C$5&gt;$C$3,0,C100-C23)</f>
        <v>-1.3825000000000003</v>
      </c>
      <c r="D154" s="20">
        <f t="shared" si="73"/>
        <v>0.21750000000000114</v>
      </c>
      <c r="E154" s="20">
        <f t="shared" si="73"/>
        <v>-8.2499999999996021E-2</v>
      </c>
      <c r="F154" s="20">
        <f t="shared" si="73"/>
        <v>-69.482499999999987</v>
      </c>
      <c r="G154" s="20">
        <f t="shared" si="73"/>
        <v>-1.582499999999996</v>
      </c>
      <c r="H154" s="20">
        <f t="shared" si="73"/>
        <v>-0.38250000000000028</v>
      </c>
      <c r="I154" s="20">
        <f t="shared" si="73"/>
        <v>0</v>
      </c>
      <c r="J154" s="20">
        <f t="shared" si="73"/>
        <v>0</v>
      </c>
      <c r="K154" s="20">
        <f t="shared" si="73"/>
        <v>0</v>
      </c>
      <c r="L154" s="20">
        <f t="shared" si="73"/>
        <v>0</v>
      </c>
      <c r="M154" s="20">
        <f t="shared" si="73"/>
        <v>0</v>
      </c>
      <c r="N154" s="20">
        <f t="shared" si="73"/>
        <v>0</v>
      </c>
      <c r="O154" s="20">
        <f t="shared" si="64"/>
        <v>-72.694999999999993</v>
      </c>
      <c r="P154" s="30">
        <f t="shared" si="65"/>
        <v>-0.35305116437191908</v>
      </c>
    </row>
    <row r="155" spans="1:16" x14ac:dyDescent="0.35">
      <c r="A155" s="32" t="s">
        <v>116</v>
      </c>
      <c r="B155" s="33" t="s">
        <v>104</v>
      </c>
      <c r="C155" s="57">
        <f t="shared" ref="C155:N155" si="74">IF(C$5&gt;$C$3,0,C101-C24)</f>
        <v>-3.3786177572355314</v>
      </c>
      <c r="D155" s="57">
        <f t="shared" si="74"/>
        <v>-3.002583209698571</v>
      </c>
      <c r="E155" s="57">
        <f t="shared" si="74"/>
        <v>-20.524464373599017</v>
      </c>
      <c r="F155" s="57">
        <f t="shared" si="74"/>
        <v>-92.536140351808569</v>
      </c>
      <c r="G155" s="57">
        <f t="shared" si="74"/>
        <v>-24.887855919904155</v>
      </c>
      <c r="H155" s="57">
        <f t="shared" si="74"/>
        <v>-22.812771780066896</v>
      </c>
      <c r="I155" s="57">
        <f t="shared" si="74"/>
        <v>0</v>
      </c>
      <c r="J155" s="57">
        <f t="shared" si="74"/>
        <v>0</v>
      </c>
      <c r="K155" s="57">
        <f t="shared" si="74"/>
        <v>0</v>
      </c>
      <c r="L155" s="57">
        <f t="shared" si="74"/>
        <v>0</v>
      </c>
      <c r="M155" s="57">
        <f t="shared" si="74"/>
        <v>0</v>
      </c>
      <c r="N155" s="57">
        <f t="shared" si="74"/>
        <v>0</v>
      </c>
      <c r="O155" s="57">
        <f t="shared" si="64"/>
        <v>-167.14243339231274</v>
      </c>
      <c r="P155" s="35">
        <f t="shared" si="65"/>
        <v>-6.9194142049382387E-2</v>
      </c>
    </row>
    <row r="156" spans="1:16" x14ac:dyDescent="0.35">
      <c r="A156" s="5" t="s">
        <v>117</v>
      </c>
      <c r="B156" s="6" t="s">
        <v>104</v>
      </c>
      <c r="C156" s="20">
        <f t="shared" ref="C156:N156" si="75">IF(C$5&gt;$C$3,0,C102-C25)</f>
        <v>0.34288659793814702</v>
      </c>
      <c r="D156" s="20">
        <f t="shared" si="75"/>
        <v>1.842886597938147</v>
      </c>
      <c r="E156" s="20">
        <f t="shared" si="75"/>
        <v>-0.95711340206185014</v>
      </c>
      <c r="F156" s="20">
        <f t="shared" si="75"/>
        <v>-5.5793814432988142E-2</v>
      </c>
      <c r="G156" s="20">
        <f t="shared" si="75"/>
        <v>0.34420618556701754</v>
      </c>
      <c r="H156" s="20">
        <f t="shared" si="75"/>
        <v>1.2442061855670232</v>
      </c>
      <c r="I156" s="20">
        <f t="shared" si="75"/>
        <v>0</v>
      </c>
      <c r="J156" s="20">
        <f t="shared" si="75"/>
        <v>0</v>
      </c>
      <c r="K156" s="20">
        <f t="shared" si="75"/>
        <v>0</v>
      </c>
      <c r="L156" s="20">
        <f t="shared" si="75"/>
        <v>0</v>
      </c>
      <c r="M156" s="20">
        <f t="shared" si="75"/>
        <v>0</v>
      </c>
      <c r="N156" s="20">
        <f t="shared" si="75"/>
        <v>0</v>
      </c>
      <c r="O156" s="20">
        <f t="shared" si="64"/>
        <v>2.7612783505154965</v>
      </c>
      <c r="P156" s="30">
        <f t="shared" si="65"/>
        <v>4.9783146188375526E-3</v>
      </c>
    </row>
    <row r="157" spans="1:16" x14ac:dyDescent="0.35">
      <c r="A157" s="5" t="s">
        <v>118</v>
      </c>
      <c r="B157" s="6" t="s">
        <v>104</v>
      </c>
      <c r="C157" s="20">
        <f t="shared" ref="C157:N157" si="76">IF(C$5&gt;$C$3,0,C103-C26)</f>
        <v>1.1226329563470472</v>
      </c>
      <c r="D157" s="20">
        <f t="shared" si="76"/>
        <v>16.099400855216004</v>
      </c>
      <c r="E157" s="20">
        <f t="shared" si="76"/>
        <v>3.8730096138516501</v>
      </c>
      <c r="F157" s="20">
        <f t="shared" si="76"/>
        <v>7.4695823678521265</v>
      </c>
      <c r="G157" s="20">
        <f t="shared" si="76"/>
        <v>-62.229231600880325</v>
      </c>
      <c r="H157" s="20">
        <f t="shared" si="76"/>
        <v>-137.77896767966649</v>
      </c>
      <c r="I157" s="20">
        <f t="shared" si="76"/>
        <v>0</v>
      </c>
      <c r="J157" s="20">
        <f t="shared" si="76"/>
        <v>0</v>
      </c>
      <c r="K157" s="20">
        <f t="shared" si="76"/>
        <v>0</v>
      </c>
      <c r="L157" s="20">
        <f t="shared" si="76"/>
        <v>0</v>
      </c>
      <c r="M157" s="20">
        <f t="shared" si="76"/>
        <v>0</v>
      </c>
      <c r="N157" s="20">
        <f t="shared" si="76"/>
        <v>0</v>
      </c>
      <c r="O157" s="20">
        <f t="shared" si="64"/>
        <v>-171.44357348727999</v>
      </c>
      <c r="P157" s="30">
        <f t="shared" si="65"/>
        <v>-3.7564682364480538E-2</v>
      </c>
    </row>
    <row r="158" spans="1:16" x14ac:dyDescent="0.35">
      <c r="A158" s="5" t="s">
        <v>119</v>
      </c>
      <c r="B158" s="6" t="s">
        <v>104</v>
      </c>
      <c r="C158" s="20">
        <f t="shared" ref="C158:N158" si="77">IF(C$5&gt;$C$3,0,C104-C27)</f>
        <v>-7.112728857512991</v>
      </c>
      <c r="D158" s="20">
        <f t="shared" si="77"/>
        <v>4.3462329559145019</v>
      </c>
      <c r="E158" s="20">
        <f t="shared" si="77"/>
        <v>-57.405576923789909</v>
      </c>
      <c r="F158" s="20">
        <f t="shared" si="77"/>
        <v>-40.572287270766424</v>
      </c>
      <c r="G158" s="20">
        <f t="shared" si="77"/>
        <v>-48.357782139944334</v>
      </c>
      <c r="H158" s="20">
        <f t="shared" si="77"/>
        <v>-48.227426827751799</v>
      </c>
      <c r="I158" s="20">
        <f t="shared" si="77"/>
        <v>0</v>
      </c>
      <c r="J158" s="20">
        <f t="shared" si="77"/>
        <v>0</v>
      </c>
      <c r="K158" s="20">
        <f t="shared" si="77"/>
        <v>0</v>
      </c>
      <c r="L158" s="20">
        <f t="shared" si="77"/>
        <v>0</v>
      </c>
      <c r="M158" s="20">
        <f t="shared" si="77"/>
        <v>0</v>
      </c>
      <c r="N158" s="20">
        <f t="shared" si="77"/>
        <v>0</v>
      </c>
      <c r="O158" s="20">
        <f t="shared" si="64"/>
        <v>-197.32956906385095</v>
      </c>
      <c r="P158" s="30">
        <f t="shared" si="65"/>
        <v>-9.2958506576157604E-2</v>
      </c>
    </row>
    <row r="159" spans="1:16" x14ac:dyDescent="0.35">
      <c r="A159" s="32" t="s">
        <v>120</v>
      </c>
      <c r="B159" s="33" t="s">
        <v>104</v>
      </c>
      <c r="C159" s="57">
        <f t="shared" ref="C159:N159" si="78">IF(C$5&gt;$C$3,0,C105-C28)</f>
        <v>-5.6472093032277826</v>
      </c>
      <c r="D159" s="57">
        <f t="shared" si="78"/>
        <v>22.288520409068724</v>
      </c>
      <c r="E159" s="57">
        <f t="shared" si="78"/>
        <v>-54.489680712000109</v>
      </c>
      <c r="F159" s="57">
        <f t="shared" si="78"/>
        <v>-33.158498717347356</v>
      </c>
      <c r="G159" s="57">
        <f t="shared" si="78"/>
        <v>-110.24280755525774</v>
      </c>
      <c r="H159" s="57">
        <f t="shared" si="78"/>
        <v>-184.762188321851</v>
      </c>
      <c r="I159" s="57">
        <f t="shared" si="78"/>
        <v>0</v>
      </c>
      <c r="J159" s="57">
        <f t="shared" si="78"/>
        <v>0</v>
      </c>
      <c r="K159" s="57">
        <f t="shared" si="78"/>
        <v>0</v>
      </c>
      <c r="L159" s="57">
        <f t="shared" si="78"/>
        <v>0</v>
      </c>
      <c r="M159" s="57">
        <f t="shared" si="78"/>
        <v>0</v>
      </c>
      <c r="N159" s="57">
        <f t="shared" si="78"/>
        <v>0</v>
      </c>
      <c r="O159" s="57">
        <f t="shared" si="64"/>
        <v>-366.01186420061526</v>
      </c>
      <c r="P159" s="35">
        <f t="shared" si="65"/>
        <v>-5.0544433931272878E-2</v>
      </c>
    </row>
    <row r="160" spans="1:16" x14ac:dyDescent="0.35">
      <c r="A160" s="5" t="s">
        <v>121</v>
      </c>
      <c r="B160" s="6" t="s">
        <v>104</v>
      </c>
      <c r="C160" s="20">
        <f t="shared" ref="C160:N160" si="79">IF(C$5&gt;$C$3,0,C106-C29)</f>
        <v>1.0120000000000005</v>
      </c>
      <c r="D160" s="20">
        <f t="shared" si="79"/>
        <v>1.1120000000000001</v>
      </c>
      <c r="E160" s="20">
        <f t="shared" si="79"/>
        <v>1.1120000000000001</v>
      </c>
      <c r="F160" s="20">
        <f t="shared" si="79"/>
        <v>1.1120000000000001</v>
      </c>
      <c r="G160" s="20">
        <f t="shared" si="79"/>
        <v>1.1120000000000001</v>
      </c>
      <c r="H160" s="20">
        <f t="shared" si="79"/>
        <v>0.1120000000000001</v>
      </c>
      <c r="I160" s="20">
        <f t="shared" si="79"/>
        <v>0</v>
      </c>
      <c r="J160" s="20">
        <f t="shared" si="79"/>
        <v>0</v>
      </c>
      <c r="K160" s="20">
        <f t="shared" si="79"/>
        <v>0</v>
      </c>
      <c r="L160" s="20">
        <f t="shared" si="79"/>
        <v>0</v>
      </c>
      <c r="M160" s="20">
        <f t="shared" si="79"/>
        <v>0</v>
      </c>
      <c r="N160" s="20">
        <f t="shared" si="79"/>
        <v>0</v>
      </c>
      <c r="O160" s="20">
        <f t="shared" si="64"/>
        <v>5.572000000000001</v>
      </c>
      <c r="P160" s="30">
        <f t="shared" si="65"/>
        <v>6.1861621813660193E-2</v>
      </c>
    </row>
    <row r="161" spans="1:16" x14ac:dyDescent="0.35">
      <c r="A161" s="5" t="s">
        <v>122</v>
      </c>
      <c r="B161" s="6" t="s">
        <v>104</v>
      </c>
      <c r="C161" s="20">
        <f t="shared" ref="C161:N161" si="80">IF(C$5&gt;$C$3,0,C107-C30)</f>
        <v>-7.6249999999998153E-2</v>
      </c>
      <c r="D161" s="20">
        <f t="shared" si="80"/>
        <v>0.92375000000000185</v>
      </c>
      <c r="E161" s="20">
        <f t="shared" si="80"/>
        <v>0.42375000000000185</v>
      </c>
      <c r="F161" s="20">
        <f t="shared" si="80"/>
        <v>-0.57624999999999815</v>
      </c>
      <c r="G161" s="20">
        <f t="shared" si="80"/>
        <v>0.12375000000000114</v>
      </c>
      <c r="H161" s="20">
        <f t="shared" si="80"/>
        <v>-7.6249999999998153E-2</v>
      </c>
      <c r="I161" s="20">
        <f t="shared" si="80"/>
        <v>0</v>
      </c>
      <c r="J161" s="20">
        <f t="shared" si="80"/>
        <v>0</v>
      </c>
      <c r="K161" s="20">
        <f t="shared" si="80"/>
        <v>0</v>
      </c>
      <c r="L161" s="20">
        <f t="shared" si="80"/>
        <v>0</v>
      </c>
      <c r="M161" s="20">
        <f t="shared" si="80"/>
        <v>0</v>
      </c>
      <c r="N161" s="20">
        <f t="shared" si="80"/>
        <v>0</v>
      </c>
      <c r="O161" s="20">
        <f t="shared" si="64"/>
        <v>0.74250000000001037</v>
      </c>
      <c r="P161" s="30">
        <f t="shared" si="65"/>
        <v>1.2223731324855091E-2</v>
      </c>
    </row>
    <row r="162" spans="1:16" x14ac:dyDescent="0.35">
      <c r="A162" s="32" t="s">
        <v>123</v>
      </c>
      <c r="B162" s="33" t="s">
        <v>104</v>
      </c>
      <c r="C162" s="57">
        <f t="shared" ref="C162:N162" si="81">IF(C$5&gt;$C$3,0,C108-C31)</f>
        <v>0.9357500000000023</v>
      </c>
      <c r="D162" s="57">
        <f t="shared" si="81"/>
        <v>2.0357500000000002</v>
      </c>
      <c r="E162" s="57">
        <f t="shared" si="81"/>
        <v>1.5357500000000002</v>
      </c>
      <c r="F162" s="57">
        <f t="shared" si="81"/>
        <v>0.53575000000000017</v>
      </c>
      <c r="G162" s="57">
        <f t="shared" si="81"/>
        <v>1.235750000000003</v>
      </c>
      <c r="H162" s="57">
        <f t="shared" si="81"/>
        <v>3.5750000000000171E-2</v>
      </c>
      <c r="I162" s="57">
        <f t="shared" si="81"/>
        <v>0</v>
      </c>
      <c r="J162" s="57">
        <f t="shared" si="81"/>
        <v>0</v>
      </c>
      <c r="K162" s="57">
        <f t="shared" si="81"/>
        <v>0</v>
      </c>
      <c r="L162" s="57">
        <f t="shared" si="81"/>
        <v>0</v>
      </c>
      <c r="M162" s="57">
        <f t="shared" si="81"/>
        <v>0</v>
      </c>
      <c r="N162" s="57">
        <f t="shared" si="81"/>
        <v>0</v>
      </c>
      <c r="O162" s="57">
        <f t="shared" si="64"/>
        <v>6.314500000000006</v>
      </c>
      <c r="P162" s="35">
        <f t="shared" si="65"/>
        <v>4.1869316279270263E-2</v>
      </c>
    </row>
    <row r="163" spans="1:16" x14ac:dyDescent="0.35">
      <c r="A163" s="5" t="s">
        <v>124</v>
      </c>
      <c r="B163" s="6" t="s">
        <v>104</v>
      </c>
      <c r="C163" s="20">
        <f t="shared" ref="C163:N163" si="82">IF(C$5&gt;$C$3,0,C109-C32)</f>
        <v>0.56619354838710478</v>
      </c>
      <c r="D163" s="20">
        <f t="shared" si="82"/>
        <v>0.26619354838710763</v>
      </c>
      <c r="E163" s="20">
        <f t="shared" si="82"/>
        <v>-1.1338064516128981</v>
      </c>
      <c r="F163" s="20">
        <f t="shared" si="82"/>
        <v>-0.69664516129031995</v>
      </c>
      <c r="G163" s="20">
        <f t="shared" si="82"/>
        <v>0.70335483870968574</v>
      </c>
      <c r="H163" s="20">
        <f t="shared" si="82"/>
        <v>-1.2966451612903143</v>
      </c>
      <c r="I163" s="20">
        <f t="shared" si="82"/>
        <v>0</v>
      </c>
      <c r="J163" s="20">
        <f t="shared" si="82"/>
        <v>0</v>
      </c>
      <c r="K163" s="20">
        <f t="shared" si="82"/>
        <v>0</v>
      </c>
      <c r="L163" s="20">
        <f t="shared" si="82"/>
        <v>0</v>
      </c>
      <c r="M163" s="20">
        <f t="shared" si="82"/>
        <v>0</v>
      </c>
      <c r="N163" s="20">
        <f t="shared" si="82"/>
        <v>0</v>
      </c>
      <c r="O163" s="20">
        <f t="shared" si="64"/>
        <v>-1.5913548387096341</v>
      </c>
      <c r="P163" s="30">
        <f t="shared" si="65"/>
        <v>-2.7517396670869499E-3</v>
      </c>
    </row>
    <row r="164" spans="1:16" x14ac:dyDescent="0.35">
      <c r="A164" s="5" t="s">
        <v>125</v>
      </c>
      <c r="B164" s="6" t="s">
        <v>104</v>
      </c>
      <c r="C164" s="20">
        <f t="shared" ref="C164:N164" si="83">IF(C$5&gt;$C$3,0,C110-C33)</f>
        <v>1.0666666666679703E-2</v>
      </c>
      <c r="D164" s="20">
        <f t="shared" si="83"/>
        <v>1.5106666666666797</v>
      </c>
      <c r="E164" s="20">
        <f t="shared" si="83"/>
        <v>-86.189333333333323</v>
      </c>
      <c r="F164" s="20">
        <f t="shared" si="83"/>
        <v>2.1106666666666811</v>
      </c>
      <c r="G164" s="20">
        <f t="shared" si="83"/>
        <v>1.0666666666679703E-2</v>
      </c>
      <c r="H164" s="20">
        <f t="shared" si="83"/>
        <v>1.310666666666684</v>
      </c>
      <c r="I164" s="20">
        <f t="shared" si="83"/>
        <v>0</v>
      </c>
      <c r="J164" s="20">
        <f t="shared" si="83"/>
        <v>0</v>
      </c>
      <c r="K164" s="20">
        <f t="shared" si="83"/>
        <v>0</v>
      </c>
      <c r="L164" s="20">
        <f t="shared" si="83"/>
        <v>0</v>
      </c>
      <c r="M164" s="20">
        <f t="shared" si="83"/>
        <v>0</v>
      </c>
      <c r="N164" s="20">
        <f t="shared" si="83"/>
        <v>0</v>
      </c>
      <c r="O164" s="20">
        <f t="shared" si="64"/>
        <v>-81.235999999999905</v>
      </c>
      <c r="P164" s="30">
        <f t="shared" si="65"/>
        <v>-0.25932121150211923</v>
      </c>
    </row>
    <row r="165" spans="1:16" x14ac:dyDescent="0.35">
      <c r="A165" s="32" t="s">
        <v>126</v>
      </c>
      <c r="B165" s="33" t="s">
        <v>104</v>
      </c>
      <c r="C165" s="57">
        <f t="shared" ref="C165:N165" si="84">IF(C$5&gt;$C$3,0,C111-C34)</f>
        <v>0.57686021505378449</v>
      </c>
      <c r="D165" s="57">
        <f t="shared" si="84"/>
        <v>1.7768602150537731</v>
      </c>
      <c r="E165" s="57">
        <f t="shared" si="84"/>
        <v>-87.32313978494625</v>
      </c>
      <c r="F165" s="57">
        <f t="shared" si="84"/>
        <v>1.4140215053763541</v>
      </c>
      <c r="G165" s="57">
        <f t="shared" si="84"/>
        <v>0.71402150537636544</v>
      </c>
      <c r="H165" s="57">
        <f t="shared" si="84"/>
        <v>1.4021505376348387E-2</v>
      </c>
      <c r="I165" s="57">
        <f t="shared" si="84"/>
        <v>0</v>
      </c>
      <c r="J165" s="57">
        <f t="shared" si="84"/>
        <v>0</v>
      </c>
      <c r="K165" s="57">
        <f t="shared" si="84"/>
        <v>0</v>
      </c>
      <c r="L165" s="57">
        <f t="shared" si="84"/>
        <v>0</v>
      </c>
      <c r="M165" s="57">
        <f t="shared" si="84"/>
        <v>0</v>
      </c>
      <c r="N165" s="57">
        <f t="shared" si="84"/>
        <v>0</v>
      </c>
      <c r="O165" s="57">
        <f t="shared" si="64"/>
        <v>-82.827354838709624</v>
      </c>
      <c r="P165" s="35">
        <f t="shared" si="65"/>
        <v>-9.2900287248859792E-2</v>
      </c>
    </row>
    <row r="166" spans="1:16" x14ac:dyDescent="0.35">
      <c r="A166" s="5" t="s">
        <v>127</v>
      </c>
      <c r="B166" s="6" t="s">
        <v>104</v>
      </c>
      <c r="C166" s="20">
        <f t="shared" ref="C166:N166" si="85">IF(C$5&gt;$C$3,0,C112-C35)</f>
        <v>-0.18800000000000949</v>
      </c>
      <c r="D166" s="20">
        <f t="shared" si="85"/>
        <v>0.21199999999998909</v>
      </c>
      <c r="E166" s="20">
        <f t="shared" si="85"/>
        <v>0.31199999999999051</v>
      </c>
      <c r="F166" s="20">
        <f t="shared" si="85"/>
        <v>0.21199999999998909</v>
      </c>
      <c r="G166" s="20">
        <f t="shared" si="85"/>
        <v>0.11199999999998766</v>
      </c>
      <c r="H166" s="20">
        <f t="shared" si="85"/>
        <v>0.11199999999998766</v>
      </c>
      <c r="I166" s="20">
        <f t="shared" si="85"/>
        <v>0</v>
      </c>
      <c r="J166" s="20">
        <f t="shared" si="85"/>
        <v>0</v>
      </c>
      <c r="K166" s="20">
        <f t="shared" si="85"/>
        <v>0</v>
      </c>
      <c r="L166" s="20">
        <f t="shared" si="85"/>
        <v>0</v>
      </c>
      <c r="M166" s="20">
        <f t="shared" si="85"/>
        <v>0</v>
      </c>
      <c r="N166" s="20">
        <f t="shared" si="85"/>
        <v>0</v>
      </c>
      <c r="O166" s="20">
        <f t="shared" si="64"/>
        <v>0.77199999999993452</v>
      </c>
      <c r="P166" s="30">
        <f t="shared" si="65"/>
        <v>3.2729616062946629E-3</v>
      </c>
    </row>
    <row r="167" spans="1:16" x14ac:dyDescent="0.35">
      <c r="A167" s="5" t="s">
        <v>128</v>
      </c>
      <c r="B167" s="6" t="s">
        <v>104</v>
      </c>
      <c r="C167" s="20">
        <f t="shared" ref="C167:N167" si="86">IF(C$5&gt;$C$3,0,C113-C36)</f>
        <v>2.4718333333333433</v>
      </c>
      <c r="D167" s="20">
        <f t="shared" si="86"/>
        <v>-1.9281666666666553</v>
      </c>
      <c r="E167" s="20">
        <f t="shared" si="86"/>
        <v>-0.1281666666666581</v>
      </c>
      <c r="F167" s="20">
        <f t="shared" si="86"/>
        <v>-1.2281666666666524</v>
      </c>
      <c r="G167" s="20">
        <f t="shared" si="86"/>
        <v>-2.1281666666666581</v>
      </c>
      <c r="H167" s="20">
        <f t="shared" si="86"/>
        <v>-0.42816666666665526</v>
      </c>
      <c r="I167" s="20">
        <f t="shared" si="86"/>
        <v>0</v>
      </c>
      <c r="J167" s="20">
        <f t="shared" si="86"/>
        <v>0</v>
      </c>
      <c r="K167" s="20">
        <f t="shared" si="86"/>
        <v>0</v>
      </c>
      <c r="L167" s="20">
        <f t="shared" si="86"/>
        <v>0</v>
      </c>
      <c r="M167" s="20">
        <f t="shared" si="86"/>
        <v>0</v>
      </c>
      <c r="N167" s="20">
        <f t="shared" si="86"/>
        <v>0</v>
      </c>
      <c r="O167" s="20">
        <f t="shared" si="64"/>
        <v>-3.3689999999999358</v>
      </c>
      <c r="P167" s="30">
        <f t="shared" si="65"/>
        <v>-9.0459709315280808E-3</v>
      </c>
    </row>
    <row r="168" spans="1:16" x14ac:dyDescent="0.35">
      <c r="A168" s="32" t="s">
        <v>129</v>
      </c>
      <c r="B168" s="33" t="s">
        <v>104</v>
      </c>
      <c r="C168" s="57">
        <f t="shared" ref="C168:N168" si="87">IF(C$5&gt;$C$3,0,C114-C37)</f>
        <v>2.283833333333348</v>
      </c>
      <c r="D168" s="57">
        <f t="shared" si="87"/>
        <v>-1.716166666666652</v>
      </c>
      <c r="E168" s="57">
        <f t="shared" si="87"/>
        <v>0.18383333333333951</v>
      </c>
      <c r="F168" s="57">
        <f t="shared" si="87"/>
        <v>-1.0161666666666633</v>
      </c>
      <c r="G168" s="57">
        <f t="shared" si="87"/>
        <v>-2.0161666666666633</v>
      </c>
      <c r="H168" s="57">
        <f t="shared" si="87"/>
        <v>-0.31616666666666049</v>
      </c>
      <c r="I168" s="57">
        <f t="shared" si="87"/>
        <v>0</v>
      </c>
      <c r="J168" s="57">
        <f t="shared" si="87"/>
        <v>0</v>
      </c>
      <c r="K168" s="57">
        <f t="shared" si="87"/>
        <v>0</v>
      </c>
      <c r="L168" s="57">
        <f t="shared" si="87"/>
        <v>0</v>
      </c>
      <c r="M168" s="57">
        <f t="shared" si="87"/>
        <v>0</v>
      </c>
      <c r="N168" s="57">
        <f t="shared" si="87"/>
        <v>0</v>
      </c>
      <c r="O168" s="57">
        <f t="shared" si="64"/>
        <v>-2.5969999999999516</v>
      </c>
      <c r="P168" s="35">
        <f t="shared" si="65"/>
        <v>-4.269253973759708E-3</v>
      </c>
    </row>
    <row r="169" spans="1:16" x14ac:dyDescent="0.35">
      <c r="A169" s="32" t="s">
        <v>131</v>
      </c>
      <c r="B169" s="33" t="s">
        <v>104</v>
      </c>
      <c r="C169" s="57">
        <f t="shared" ref="C169:N169" si="88">IF(C$5&gt;$C$3,0,C115-C39)</f>
        <v>-9.4513743467127824</v>
      </c>
      <c r="D169" s="57">
        <f t="shared" si="88"/>
        <v>19.10329755312091</v>
      </c>
      <c r="E169" s="57">
        <f t="shared" si="88"/>
        <v>-166.84307153184886</v>
      </c>
      <c r="F169" s="57">
        <f t="shared" si="88"/>
        <v>-148.60467246508324</v>
      </c>
      <c r="G169" s="57">
        <f t="shared" si="88"/>
        <v>-154.91221139108939</v>
      </c>
      <c r="H169" s="57">
        <f t="shared" si="88"/>
        <v>-229.5102546856665</v>
      </c>
      <c r="I169" s="57">
        <f t="shared" si="88"/>
        <v>0</v>
      </c>
      <c r="J169" s="57">
        <f t="shared" si="88"/>
        <v>0</v>
      </c>
      <c r="K169" s="57">
        <f t="shared" si="88"/>
        <v>0</v>
      </c>
      <c r="L169" s="57">
        <f t="shared" si="88"/>
        <v>0</v>
      </c>
      <c r="M169" s="57">
        <f t="shared" si="88"/>
        <v>0</v>
      </c>
      <c r="N169" s="57">
        <f t="shared" si="88"/>
        <v>0</v>
      </c>
      <c r="O169" s="57">
        <f t="shared" si="64"/>
        <v>-690.21828686727986</v>
      </c>
      <c r="P169" s="35">
        <f t="shared" si="65"/>
        <v>-5.5753221465362504E-2</v>
      </c>
    </row>
    <row r="170" spans="1:16" x14ac:dyDescent="0.35">
      <c r="A170" s="32" t="s">
        <v>132</v>
      </c>
      <c r="B170" s="33" t="s">
        <v>104</v>
      </c>
      <c r="C170" s="57">
        <f t="shared" ref="C170:N170" si="89">IF(C$5&gt;$C$3,0,C40-C116)</f>
        <v>23.417212028416998</v>
      </c>
      <c r="D170" s="57">
        <f t="shared" si="89"/>
        <v>-40.277433926023832</v>
      </c>
      <c r="E170" s="57">
        <f t="shared" si="89"/>
        <v>-89.760227813949086</v>
      </c>
      <c r="F170" s="57">
        <f t="shared" si="89"/>
        <v>-47.08577175741857</v>
      </c>
      <c r="G170" s="57">
        <f t="shared" si="89"/>
        <v>-53.094496031646031</v>
      </c>
      <c r="H170" s="57">
        <f t="shared" si="89"/>
        <v>-114.65631146814712</v>
      </c>
      <c r="I170" s="57">
        <f t="shared" si="89"/>
        <v>0</v>
      </c>
      <c r="J170" s="57">
        <f t="shared" si="89"/>
        <v>0</v>
      </c>
      <c r="K170" s="57">
        <f t="shared" si="89"/>
        <v>0</v>
      </c>
      <c r="L170" s="57">
        <f t="shared" si="89"/>
        <v>0</v>
      </c>
      <c r="M170" s="57">
        <f t="shared" si="89"/>
        <v>0</v>
      </c>
      <c r="N170" s="57">
        <f t="shared" si="89"/>
        <v>0</v>
      </c>
      <c r="O170" s="57">
        <f t="shared" si="64"/>
        <v>-321.45702896876764</v>
      </c>
      <c r="P170" s="35">
        <f t="shared" si="65"/>
        <v>-0.14563050654934631</v>
      </c>
    </row>
    <row r="172" spans="1:16" x14ac:dyDescent="0.35">
      <c r="A172" s="7" t="s">
        <v>253</v>
      </c>
      <c r="B172" s="8"/>
      <c r="C172" s="8"/>
      <c r="D172" s="8"/>
      <c r="E172" s="8"/>
      <c r="F172" s="8"/>
      <c r="G172" s="8"/>
      <c r="H172" s="8"/>
      <c r="I172" s="8"/>
      <c r="J172" s="8"/>
      <c r="K172" s="8"/>
      <c r="L172" s="8"/>
      <c r="M172" s="8"/>
      <c r="N172" s="8"/>
      <c r="O172" s="8"/>
      <c r="P172" s="8"/>
    </row>
    <row r="173" spans="1:16" x14ac:dyDescent="0.35">
      <c r="A173" s="5" t="s">
        <v>254</v>
      </c>
      <c r="C173" s="20">
        <f t="shared" ref="C173:N173" si="90">IF(C$5&gt;$C$3,0,(C10-C61)*C62/100000)</f>
        <v>42.391567195129504</v>
      </c>
      <c r="D173" s="20">
        <f t="shared" si="90"/>
        <v>-11.365244954473098</v>
      </c>
      <c r="E173" s="20">
        <f t="shared" si="90"/>
        <v>81.642944405868477</v>
      </c>
      <c r="F173" s="20">
        <f t="shared" si="90"/>
        <v>75.887122274219323</v>
      </c>
      <c r="G173" s="20">
        <f t="shared" si="90"/>
        <v>72.503359421083843</v>
      </c>
      <c r="H173" s="20">
        <f t="shared" si="90"/>
        <v>89.790077797316215</v>
      </c>
      <c r="I173" s="20">
        <f t="shared" si="90"/>
        <v>0</v>
      </c>
      <c r="J173" s="20">
        <f t="shared" si="90"/>
        <v>0</v>
      </c>
      <c r="K173" s="20">
        <f t="shared" si="90"/>
        <v>0</v>
      </c>
      <c r="L173" s="20">
        <f t="shared" si="90"/>
        <v>0</v>
      </c>
      <c r="M173" s="20">
        <f t="shared" si="90"/>
        <v>0</v>
      </c>
      <c r="N173" s="20">
        <f t="shared" si="90"/>
        <v>0</v>
      </c>
      <c r="O173" s="20">
        <f>SUMIFS($C173:$N173,$C$5:$N$5,"&lt;="&amp;$C$3)</f>
        <v>350.84982613914423</v>
      </c>
    </row>
    <row r="174" spans="1:16" x14ac:dyDescent="0.35">
      <c r="A174" s="5" t="s">
        <v>255</v>
      </c>
      <c r="C174" s="20">
        <f t="shared" ref="C174:N174" si="91">IF(C$5&gt;$C$3,0,(C11-C62)*C10/100000)</f>
        <v>-6.5838986199994434</v>
      </c>
      <c r="D174" s="20">
        <f t="shared" si="91"/>
        <v>-28.653116604671322</v>
      </c>
      <c r="E174" s="20">
        <f t="shared" si="91"/>
        <v>1.6472328320308227</v>
      </c>
      <c r="F174" s="20">
        <f t="shared" si="91"/>
        <v>-35.205449566554677</v>
      </c>
      <c r="G174" s="20">
        <f t="shared" si="91"/>
        <v>-49.017222021640542</v>
      </c>
      <c r="H174" s="20">
        <f t="shared" si="91"/>
        <v>-39.851935519797941</v>
      </c>
      <c r="I174" s="20">
        <f t="shared" si="91"/>
        <v>0</v>
      </c>
      <c r="J174" s="20">
        <f t="shared" si="91"/>
        <v>0</v>
      </c>
      <c r="K174" s="20">
        <f t="shared" si="91"/>
        <v>0</v>
      </c>
      <c r="L174" s="20">
        <f t="shared" si="91"/>
        <v>0</v>
      </c>
      <c r="M174" s="20">
        <f t="shared" si="91"/>
        <v>0</v>
      </c>
      <c r="N174" s="20">
        <f t="shared" si="91"/>
        <v>0</v>
      </c>
      <c r="O174" s="20">
        <f>SUMIFS($C174:$N174,$C$5:$N$5,"&lt;="&amp;$C$3)</f>
        <v>-157.66438950063309</v>
      </c>
    </row>
    <row r="175" spans="1:16" x14ac:dyDescent="0.35">
      <c r="A175" s="12" t="s">
        <v>256</v>
      </c>
      <c r="C175" s="58">
        <f t="shared" ref="C175:N175" si="92">C173+C174</f>
        <v>35.807668575130059</v>
      </c>
      <c r="D175" s="58">
        <f t="shared" si="92"/>
        <v>-40.018361559144424</v>
      </c>
      <c r="E175" s="58">
        <f t="shared" si="92"/>
        <v>83.2901772378993</v>
      </c>
      <c r="F175" s="58">
        <f t="shared" si="92"/>
        <v>40.681672707664646</v>
      </c>
      <c r="G175" s="58">
        <f t="shared" si="92"/>
        <v>23.486137399443301</v>
      </c>
      <c r="H175" s="58">
        <f t="shared" si="92"/>
        <v>49.938142277518274</v>
      </c>
      <c r="I175" s="58">
        <f t="shared" si="92"/>
        <v>0</v>
      </c>
      <c r="J175" s="58">
        <f t="shared" si="92"/>
        <v>0</v>
      </c>
      <c r="K175" s="58">
        <f t="shared" si="92"/>
        <v>0</v>
      </c>
      <c r="L175" s="58">
        <f t="shared" si="92"/>
        <v>0</v>
      </c>
      <c r="M175" s="58">
        <f t="shared" si="92"/>
        <v>0</v>
      </c>
      <c r="N175" s="58">
        <f t="shared" si="92"/>
        <v>0</v>
      </c>
      <c r="O175" s="20">
        <f>SUMIFS($C175:$N175,$C$5:$N$5,"&lt;="&amp;$C$3)</f>
        <v>193.18543663851116</v>
      </c>
    </row>
    <row r="176" spans="1:16" x14ac:dyDescent="0.35">
      <c r="A176" s="6" t="s">
        <v>257</v>
      </c>
      <c r="C176" s="20">
        <f t="shared" ref="C176:N176" si="93">ROUND(C175-C119,3)</f>
        <v>0</v>
      </c>
      <c r="D176" s="20">
        <f t="shared" si="93"/>
        <v>0</v>
      </c>
      <c r="E176" s="20">
        <f t="shared" si="93"/>
        <v>0</v>
      </c>
      <c r="F176" s="20">
        <f t="shared" si="93"/>
        <v>0</v>
      </c>
      <c r="G176" s="20">
        <f t="shared" si="93"/>
        <v>0</v>
      </c>
      <c r="H176" s="20">
        <f t="shared" si="93"/>
        <v>0</v>
      </c>
      <c r="I176" s="20">
        <f t="shared" si="93"/>
        <v>0</v>
      </c>
      <c r="J176" s="20">
        <f t="shared" si="93"/>
        <v>0</v>
      </c>
      <c r="K176" s="20">
        <f t="shared" si="93"/>
        <v>0</v>
      </c>
      <c r="L176" s="20">
        <f t="shared" si="93"/>
        <v>0</v>
      </c>
      <c r="M176" s="20">
        <f t="shared" si="93"/>
        <v>0</v>
      </c>
      <c r="N176" s="20">
        <f t="shared" si="93"/>
        <v>0</v>
      </c>
      <c r="O176" s="20">
        <f>SUMIFS($C176:$N176,$C$5:$N$5,"&lt;="&amp;$C$3)</f>
        <v>0</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A1:X40"/>
  <sheetViews>
    <sheetView showGridLines="0" topLeftCell="D26" zoomScale="85" zoomScaleNormal="85" workbookViewId="0">
      <selection activeCell="O22" sqref="O22"/>
    </sheetView>
  </sheetViews>
  <sheetFormatPr defaultColWidth="8.6328125" defaultRowHeight="14.5" x14ac:dyDescent="0.35"/>
  <cols>
    <col min="1" max="1" width="34" customWidth="1"/>
    <col min="2" max="2" width="12" customWidth="1"/>
    <col min="3" max="3" width="14" customWidth="1"/>
    <col min="4" max="5" width="11" customWidth="1"/>
    <col min="6" max="7" width="12" customWidth="1"/>
    <col min="8" max="8" width="9" customWidth="1"/>
    <col min="9" max="9" width="12" customWidth="1"/>
    <col min="10" max="11" width="11" customWidth="1"/>
    <col min="12" max="13" width="10" customWidth="1"/>
    <col min="14" max="14" width="9" customWidth="1"/>
    <col min="15" max="15" width="13" customWidth="1"/>
    <col min="16" max="16" width="60" customWidth="1"/>
    <col min="17" max="17" width="14" customWidth="1"/>
    <col min="18" max="18" width="13" customWidth="1"/>
    <col min="19" max="19" width="55" customWidth="1"/>
    <col min="20" max="20" width="15" customWidth="1"/>
    <col min="21" max="21" width="10" customWidth="1"/>
    <col min="22" max="22" width="11" customWidth="1"/>
    <col min="23" max="23" width="12" customWidth="1"/>
    <col min="24" max="24" width="13" customWidth="1"/>
  </cols>
  <sheetData>
    <row r="1" spans="1:24" ht="18" x14ac:dyDescent="0.4">
      <c r="A1" s="23" t="s">
        <v>22</v>
      </c>
    </row>
    <row r="2" spans="1:24" x14ac:dyDescent="0.35">
      <c r="A2" s="6" t="s">
        <v>258</v>
      </c>
    </row>
    <row r="3" spans="1:24" x14ac:dyDescent="0.35">
      <c r="A3" s="5" t="s">
        <v>12</v>
      </c>
      <c r="C3" s="11">
        <f>'Assumptions &amp; Budget'!$C$6</f>
        <v>46266</v>
      </c>
      <c r="D3" s="5" t="s">
        <v>259</v>
      </c>
      <c r="F3" s="10">
        <f>'Assumptions &amp; Budget'!$C$8</f>
        <v>0.05</v>
      </c>
      <c r="G3" s="5" t="s">
        <v>260</v>
      </c>
      <c r="H3" s="51">
        <f>'Assumptions &amp; Budget'!$C$9</f>
        <v>25</v>
      </c>
      <c r="I3" s="5" t="s">
        <v>261</v>
      </c>
      <c r="K3" s="55">
        <f>'Assumptions &amp; Budget'!$C$10</f>
        <v>3</v>
      </c>
    </row>
    <row r="4" spans="1:24" x14ac:dyDescent="0.35">
      <c r="A4" s="6" t="s">
        <v>262</v>
      </c>
    </row>
    <row r="7" spans="1:24" ht="42" customHeight="1" x14ac:dyDescent="0.35">
      <c r="A7" s="17" t="s">
        <v>89</v>
      </c>
      <c r="B7" s="17" t="s">
        <v>222</v>
      </c>
      <c r="C7" s="17" t="s">
        <v>157</v>
      </c>
      <c r="D7" s="17" t="s">
        <v>263</v>
      </c>
      <c r="E7" s="17" t="s">
        <v>264</v>
      </c>
      <c r="F7" s="17" t="s">
        <v>265</v>
      </c>
      <c r="G7" s="17" t="s">
        <v>266</v>
      </c>
      <c r="H7" s="17" t="s">
        <v>244</v>
      </c>
      <c r="I7" s="17" t="s">
        <v>267</v>
      </c>
      <c r="J7" s="17" t="s">
        <v>268</v>
      </c>
      <c r="K7" s="17" t="s">
        <v>269</v>
      </c>
      <c r="L7" s="17" t="s">
        <v>270</v>
      </c>
      <c r="M7" s="17" t="s">
        <v>271</v>
      </c>
      <c r="N7" s="17" t="s">
        <v>272</v>
      </c>
      <c r="O7" s="17" t="s">
        <v>273</v>
      </c>
      <c r="P7" s="17" t="s">
        <v>274</v>
      </c>
      <c r="Q7" s="17" t="s">
        <v>275</v>
      </c>
      <c r="R7" s="17" t="s">
        <v>276</v>
      </c>
      <c r="S7" s="17" t="s">
        <v>277</v>
      </c>
      <c r="T7" s="17" t="s">
        <v>278</v>
      </c>
      <c r="U7" s="17" t="s">
        <v>279</v>
      </c>
      <c r="V7" s="17" t="s">
        <v>280</v>
      </c>
      <c r="W7" s="17" t="s">
        <v>281</v>
      </c>
      <c r="X7" s="17" t="s">
        <v>282</v>
      </c>
    </row>
    <row r="8" spans="1:24" x14ac:dyDescent="0.35">
      <c r="A8" s="5" t="s">
        <v>103</v>
      </c>
      <c r="B8" s="14" t="str">
        <f>'Assumptions &amp; Budget'!B43</f>
        <v>–</v>
      </c>
      <c r="C8" s="14" t="str">
        <f>'Assumptions &amp; Budget'!D43</f>
        <v>Volume-driven</v>
      </c>
      <c r="D8" s="51">
        <f>'Actual vs Budget'!O63</f>
        <v>21227.704309361488</v>
      </c>
      <c r="E8" s="51">
        <f>'Actual vs Budget'!O13</f>
        <v>21420.889746000001</v>
      </c>
      <c r="F8" s="51">
        <f>'Actual vs Budget'!O92</f>
        <v>21227.704309361488</v>
      </c>
      <c r="G8" s="18">
        <f>'Actual vs Budget'!O146</f>
        <v>193.18543663851051</v>
      </c>
      <c r="H8" s="59">
        <f>'Actual vs Budget'!P146</f>
        <v>9.100627831588699E-3</v>
      </c>
      <c r="I8" s="19">
        <f>SUMIFS('Actual vs Budget'!$C92:$N92,'Actual vs Budget'!$C$5:$N$5,"&gt;"&amp;EDATE($C$3,-$K$3),'Actual vs Budget'!$C$5:$N$5,"&lt;="&amp;$C$3)</f>
        <v>10718.425037615374</v>
      </c>
      <c r="J8" s="19">
        <f>SUMIFS('Actual vs Budget'!$C13:$N13,'Actual vs Budget'!$C$5:$N$5,"&gt;"&amp;EDATE($C$3,-$K$3),'Actual vs Budget'!$C$5:$N$5,"&lt;="&amp;$C$3)</f>
        <v>10832.530989999999</v>
      </c>
      <c r="K8" s="20">
        <f>SUMIFS('Actual vs Budget'!$C146:$N146,'Actual vs Budget'!$C$5:$N$5,"&gt;"&amp;EDATE($C$3,-$K$3),'Actual vs Budget'!$C$5:$N$5,"&lt;="&amp;$C$3)</f>
        <v>114.10595238462611</v>
      </c>
      <c r="L8" s="30">
        <f t="shared" ref="L8:L23" si="0">IF(I8=0,0,K8/I8)</f>
        <v>1.0645776033715892E-2</v>
      </c>
      <c r="M8" s="25" t="str">
        <f t="shared" ref="M8:M23" si="1">IF(AND(ABS(H8)&gt;=$F$3,ABS(G8)&gt;=$H$3),"YTD",IF(AND(ABS(L8)&gt;=$F$3,ABS(K8)&gt;=$H$3),"Run-rate","–"))</f>
        <v>–</v>
      </c>
      <c r="N8" s="25" t="str">
        <f t="shared" ref="N8:N23" si="2">IF(M8="–","–",IF(IF(M8="YTD",G8,K8)&lt;0,"Unfav","Fav"))</f>
        <v>–</v>
      </c>
      <c r="O8" s="13"/>
      <c r="P8" s="13"/>
      <c r="Q8" s="25" t="str">
        <f t="shared" ref="Q8:Q23" si="3">IF(M8="–","No action",IF(O8="","Classify cause",IF(O8="Structural","Reforecast","Ignore")))</f>
        <v>No action</v>
      </c>
      <c r="R8" s="13"/>
      <c r="S8" s="13"/>
      <c r="T8" s="60" t="str">
        <f t="shared" ref="T8:T23" si="4">IF(M8="–","No action",IF(O8="","Classify cause",IF(R8&lt;&gt;"",IF(S8="","Reason required",R8),Q8)))</f>
        <v>No action</v>
      </c>
      <c r="U8" s="30">
        <v>0</v>
      </c>
      <c r="V8" s="30">
        <f>IF(T8="Reforecast",U8,IF(T8="Cut spend",U8*(1-'Assumptions &amp; Budget'!$C$12),0))</f>
        <v>0</v>
      </c>
      <c r="W8" s="20">
        <v>0</v>
      </c>
      <c r="X8" s="20">
        <f t="shared" ref="X8:X23" si="5">IF(M8="–",0,IF(M8="YTD",G8,K8))</f>
        <v>0</v>
      </c>
    </row>
    <row r="9" spans="1:24" x14ac:dyDescent="0.35">
      <c r="A9" s="5" t="s">
        <v>105</v>
      </c>
      <c r="B9" s="14" t="str">
        <f>'Assumptions &amp; Budget'!B44</f>
        <v>–</v>
      </c>
      <c r="C9" s="14" t="str">
        <f>'Assumptions &amp; Budget'!D44</f>
        <v>Variable</v>
      </c>
      <c r="D9" s="51">
        <f>'Actual vs Budget'!O64</f>
        <v>6580.5883359020627</v>
      </c>
      <c r="E9" s="51">
        <f>'Actual vs Budget'!O14</f>
        <v>6464.9000000000005</v>
      </c>
      <c r="F9" s="51">
        <f>'Actual vs Budget'!O93</f>
        <v>6640.4758212600009</v>
      </c>
      <c r="G9" s="18">
        <f>'Actual vs Budget'!O147</f>
        <v>175.57582126000079</v>
      </c>
      <c r="H9" s="59">
        <f>'Actual vs Budget'!P147</f>
        <v>2.6440247052459873E-2</v>
      </c>
      <c r="I9" s="19">
        <f>SUMIFS('Actual vs Budget'!$C93:$N93,'Actual vs Budget'!$C$5:$N$5,"&gt;"&amp;EDATE($C$3,-$K$3),'Actual vs Budget'!$C$5:$N$5,"&lt;="&amp;$C$3)</f>
        <v>3358.0846068999999</v>
      </c>
      <c r="J9" s="19">
        <f>SUMIFS('Actual vs Budget'!$C14:$N14,'Actual vs Budget'!$C$5:$N$5,"&gt;"&amp;EDATE($C$3,-$K$3),'Actual vs Budget'!$C$5:$N$5,"&lt;="&amp;$C$3)</f>
        <v>3154</v>
      </c>
      <c r="K9" s="20">
        <f>SUMIFS('Actual vs Budget'!$C147:$N147,'Actual vs Budget'!$C$5:$N$5,"&gt;"&amp;EDATE($C$3,-$K$3),'Actual vs Budget'!$C$5:$N$5,"&lt;="&amp;$C$3)</f>
        <v>204.08460690000038</v>
      </c>
      <c r="L9" s="30">
        <f t="shared" si="0"/>
        <v>6.0774111075301382E-2</v>
      </c>
      <c r="M9" s="25" t="str">
        <f t="shared" si="1"/>
        <v>Run-rate</v>
      </c>
      <c r="N9" s="25" t="str">
        <f t="shared" si="2"/>
        <v>Fav</v>
      </c>
      <c r="O9" s="13" t="s">
        <v>69</v>
      </c>
      <c r="P9" s="13" t="s">
        <v>283</v>
      </c>
      <c r="Q9" s="25" t="str">
        <f t="shared" si="3"/>
        <v>Reforecast</v>
      </c>
      <c r="R9" s="13"/>
      <c r="S9" s="13"/>
      <c r="T9" s="60" t="str">
        <f t="shared" si="4"/>
        <v>Reforecast</v>
      </c>
      <c r="U9" s="30">
        <f t="shared" ref="U9:U23" si="6">-L9</f>
        <v>-6.0774111075301382E-2</v>
      </c>
      <c r="V9" s="30">
        <f>IF(T9="Reforecast",U9,IF(T9="Cut spend",U9*(1-'Assumptions &amp; Budget'!$C$12),0))</f>
        <v>-6.0774111075301382E-2</v>
      </c>
      <c r="W9" s="20">
        <f t="shared" ref="W9:W23" si="7">IF(O9="Timing",G9,0)</f>
        <v>0</v>
      </c>
      <c r="X9" s="20">
        <f t="shared" si="5"/>
        <v>204.08460690000038</v>
      </c>
    </row>
    <row r="10" spans="1:24" x14ac:dyDescent="0.35">
      <c r="A10" s="5" t="s">
        <v>110</v>
      </c>
      <c r="B10" s="14" t="str">
        <f>'Assumptions &amp; Budget'!B45</f>
        <v>Sales</v>
      </c>
      <c r="C10" s="14" t="str">
        <f>'Assumptions &amp; Budget'!D45</f>
        <v>Committed</v>
      </c>
      <c r="D10" s="51">
        <f>'Actual vs Budget'!O66</f>
        <v>429.61917318435769</v>
      </c>
      <c r="E10" s="51">
        <f>'Actual vs Budget'!O18</f>
        <v>465.79999999999995</v>
      </c>
      <c r="F10" s="51">
        <f>'Actual vs Budget'!O95</f>
        <v>429.61917318435769</v>
      </c>
      <c r="G10" s="18">
        <f>'Actual vs Budget'!O149</f>
        <v>-36.180826815642348</v>
      </c>
      <c r="H10" s="59">
        <f>'Actual vs Budget'!P149</f>
        <v>-8.4216043123653772E-2</v>
      </c>
      <c r="I10" s="19">
        <f>SUMIFS('Actual vs Budget'!$C95:$N95,'Actual vs Budget'!$C$5:$N$5,"&gt;"&amp;EDATE($C$3,-$K$3),'Actual vs Budget'!$C$5:$N$5,"&lt;="&amp;$C$3)</f>
        <v>215.99637988826822</v>
      </c>
      <c r="J10" s="19">
        <f>SUMIFS('Actual vs Budget'!$C18:$N18,'Actual vs Budget'!$C$5:$N$5,"&gt;"&amp;EDATE($C$3,-$K$3),'Actual vs Budget'!$C$5:$N$5,"&lt;="&amp;$C$3)</f>
        <v>235</v>
      </c>
      <c r="K10" s="20">
        <f>SUMIFS('Actual vs Budget'!$C149:$N149,'Actual vs Budget'!$C$5:$N$5,"&gt;"&amp;EDATE($C$3,-$K$3),'Actual vs Budget'!$C$5:$N$5,"&lt;="&amp;$C$3)</f>
        <v>-19.003620111731792</v>
      </c>
      <c r="L10" s="30">
        <f t="shared" si="0"/>
        <v>-8.7981197284704896E-2</v>
      </c>
      <c r="M10" s="25" t="str">
        <f t="shared" si="1"/>
        <v>YTD</v>
      </c>
      <c r="N10" s="25" t="str">
        <f t="shared" si="2"/>
        <v>Unfav</v>
      </c>
      <c r="O10" s="13" t="s">
        <v>69</v>
      </c>
      <c r="P10" s="13" t="s">
        <v>284</v>
      </c>
      <c r="Q10" s="25" t="str">
        <f t="shared" si="3"/>
        <v>Reforecast</v>
      </c>
      <c r="R10" s="13"/>
      <c r="S10" s="13"/>
      <c r="T10" s="60" t="str">
        <f t="shared" si="4"/>
        <v>Reforecast</v>
      </c>
      <c r="U10" s="30">
        <f t="shared" si="6"/>
        <v>8.7981197284704896E-2</v>
      </c>
      <c r="V10" s="30">
        <f>IF(T10="Reforecast",U10,IF(T10="Cut spend",U10*(1-'Assumptions &amp; Budget'!$C$12),0))</f>
        <v>8.7981197284704896E-2</v>
      </c>
      <c r="W10" s="20">
        <f t="shared" si="7"/>
        <v>0</v>
      </c>
      <c r="X10" s="20">
        <f t="shared" si="5"/>
        <v>-36.180826815642348</v>
      </c>
    </row>
    <row r="11" spans="1:24" x14ac:dyDescent="0.35">
      <c r="A11" s="5" t="s">
        <v>111</v>
      </c>
      <c r="B11" s="14" t="str">
        <f>'Assumptions &amp; Budget'!B46</f>
        <v>Sales</v>
      </c>
      <c r="C11" s="14" t="str">
        <f>'Assumptions &amp; Budget'!D46</f>
        <v>Variable</v>
      </c>
      <c r="D11" s="51">
        <f>'Actual vs Budget'!O67</f>
        <v>636.83112928084461</v>
      </c>
      <c r="E11" s="51">
        <f>'Actual vs Budget'!O19</f>
        <v>684.4</v>
      </c>
      <c r="F11" s="51">
        <f>'Actual vs Budget'!O96</f>
        <v>642.62669237999989</v>
      </c>
      <c r="G11" s="18">
        <f>'Actual vs Budget'!O150</f>
        <v>-41.773307620000054</v>
      </c>
      <c r="H11" s="59">
        <f>'Actual vs Budget'!P150</f>
        <v>-6.500400328111261E-2</v>
      </c>
      <c r="I11" s="19">
        <f>SUMIFS('Actual vs Budget'!$C96:$N96,'Actual vs Budget'!$C$5:$N$5,"&gt;"&amp;EDATE($C$3,-$K$3),'Actual vs Budget'!$C$5:$N$5,"&lt;="&amp;$C$3)</f>
        <v>324.97592969999999</v>
      </c>
      <c r="J11" s="19">
        <f>SUMIFS('Actual vs Budget'!$C19:$N19,'Actual vs Budget'!$C$5:$N$5,"&gt;"&amp;EDATE($C$3,-$K$3),'Actual vs Budget'!$C$5:$N$5,"&lt;="&amp;$C$3)</f>
        <v>371.20000000000005</v>
      </c>
      <c r="K11" s="20">
        <f>SUMIFS('Actual vs Budget'!$C150:$N150,'Actual vs Budget'!$C$5:$N$5,"&gt;"&amp;EDATE($C$3,-$K$3),'Actual vs Budget'!$C$5:$N$5,"&lt;="&amp;$C$3)</f>
        <v>-46.224070300000022</v>
      </c>
      <c r="L11" s="30">
        <f t="shared" si="0"/>
        <v>-0.14223844314460937</v>
      </c>
      <c r="M11" s="25" t="str">
        <f t="shared" si="1"/>
        <v>YTD</v>
      </c>
      <c r="N11" s="25" t="str">
        <f t="shared" si="2"/>
        <v>Unfav</v>
      </c>
      <c r="O11" s="13" t="s">
        <v>69</v>
      </c>
      <c r="P11" s="13" t="s">
        <v>285</v>
      </c>
      <c r="Q11" s="25" t="str">
        <f t="shared" si="3"/>
        <v>Reforecast</v>
      </c>
      <c r="R11" s="13"/>
      <c r="S11" s="13"/>
      <c r="T11" s="60" t="str">
        <f t="shared" si="4"/>
        <v>Reforecast</v>
      </c>
      <c r="U11" s="30">
        <f t="shared" si="6"/>
        <v>0.14223844314460937</v>
      </c>
      <c r="V11" s="30">
        <f>IF(T11="Reforecast",U11,IF(T11="Cut spend",U11*(1-'Assumptions &amp; Budget'!$C$12),0))</f>
        <v>0.14223844314460937</v>
      </c>
      <c r="W11" s="20">
        <f t="shared" si="7"/>
        <v>0</v>
      </c>
      <c r="X11" s="20">
        <f t="shared" si="5"/>
        <v>-41.773307620000054</v>
      </c>
    </row>
    <row r="12" spans="1:24" x14ac:dyDescent="0.35">
      <c r="A12" s="5" t="s">
        <v>113</v>
      </c>
      <c r="B12" s="14" t="str">
        <f>'Assumptions &amp; Budget'!B47</f>
        <v>Operations</v>
      </c>
      <c r="C12" s="14" t="str">
        <f>'Assumptions &amp; Budget'!D47</f>
        <v>Committed</v>
      </c>
      <c r="D12" s="51">
        <f>'Actual vs Budget'!O69</f>
        <v>605.59731543624162</v>
      </c>
      <c r="E12" s="51">
        <f>'Actual vs Budget'!O21</f>
        <v>604.70000000000005</v>
      </c>
      <c r="F12" s="51">
        <f>'Actual vs Budget'!O98</f>
        <v>605.59731543624162</v>
      </c>
      <c r="G12" s="18">
        <f>'Actual vs Budget'!O152</f>
        <v>0.89731543624161247</v>
      </c>
      <c r="H12" s="59">
        <f>'Actual vs Budget'!P152</f>
        <v>1.4817031274242554E-3</v>
      </c>
      <c r="I12" s="19">
        <f>SUMIFS('Actual vs Budget'!$C98:$N98,'Actual vs Budget'!$C$5:$N$5,"&gt;"&amp;EDATE($C$3,-$K$3),'Actual vs Budget'!$C$5:$N$5,"&lt;="&amp;$C$3)</f>
        <v>302.79865771812081</v>
      </c>
      <c r="J12" s="19">
        <f>SUMIFS('Actual vs Budget'!$C21:$N21,'Actual vs Budget'!$C$5:$N$5,"&gt;"&amp;EDATE($C$3,-$K$3),'Actual vs Budget'!$C$5:$N$5,"&lt;="&amp;$C$3)</f>
        <v>302.39999999999998</v>
      </c>
      <c r="K12" s="20">
        <f>SUMIFS('Actual vs Budget'!$C152:$N152,'Actual vs Budget'!$C$5:$N$5,"&gt;"&amp;EDATE($C$3,-$K$3),'Actual vs Budget'!$C$5:$N$5,"&lt;="&amp;$C$3)</f>
        <v>0.39865771812080197</v>
      </c>
      <c r="L12" s="30">
        <f t="shared" si="0"/>
        <v>1.3165769000598332E-3</v>
      </c>
      <c r="M12" s="25" t="str">
        <f t="shared" si="1"/>
        <v>–</v>
      </c>
      <c r="N12" s="25" t="str">
        <f t="shared" si="2"/>
        <v>–</v>
      </c>
      <c r="O12" s="13"/>
      <c r="P12" s="13"/>
      <c r="Q12" s="25" t="str">
        <f t="shared" si="3"/>
        <v>No action</v>
      </c>
      <c r="R12" s="13"/>
      <c r="S12" s="13"/>
      <c r="T12" s="60" t="str">
        <f t="shared" si="4"/>
        <v>No action</v>
      </c>
      <c r="U12" s="30">
        <f t="shared" si="6"/>
        <v>-1.3165769000598332E-3</v>
      </c>
      <c r="V12" s="30">
        <f>IF(T12="Reforecast",U12,IF(T12="Cut spend",U12*(1-'Assumptions &amp; Budget'!$C$12),0))</f>
        <v>0</v>
      </c>
      <c r="W12" s="20">
        <f t="shared" si="7"/>
        <v>0</v>
      </c>
      <c r="X12" s="20">
        <f t="shared" si="5"/>
        <v>0</v>
      </c>
    </row>
    <row r="13" spans="1:24" x14ac:dyDescent="0.35">
      <c r="A13" s="5" t="s">
        <v>114</v>
      </c>
      <c r="B13" s="14" t="str">
        <f>'Assumptions &amp; Budget'!B48</f>
        <v>Operations</v>
      </c>
      <c r="C13" s="14" t="str">
        <f>'Assumptions &amp; Budget'!D48</f>
        <v>Variable</v>
      </c>
      <c r="D13" s="51">
        <f>'Actual vs Budget'!O70</f>
        <v>1578.02526945</v>
      </c>
      <c r="E13" s="51">
        <f>'Actual vs Budget'!O22</f>
        <v>1699.4</v>
      </c>
      <c r="F13" s="51">
        <f>'Actual vs Budget'!O99</f>
        <v>1604.0552511714457</v>
      </c>
      <c r="G13" s="18">
        <f>'Actual vs Budget'!O153</f>
        <v>-95.344748828554316</v>
      </c>
      <c r="H13" s="59">
        <f>'Actual vs Budget'!P153</f>
        <v>-5.9439815903425897E-2</v>
      </c>
      <c r="I13" s="19">
        <f>SUMIFS('Actual vs Budget'!$C99:$N99,'Actual vs Budget'!$C$5:$N$5,"&gt;"&amp;EDATE($C$3,-$K$3),'Actual vs Budget'!$C$5:$N$5,"&lt;="&amp;$C$3)</f>
        <v>810.8120742300996</v>
      </c>
      <c r="J13" s="19">
        <f>SUMIFS('Actual vs Budget'!$C22:$N22,'Actual vs Budget'!$C$5:$N$5,"&gt;"&amp;EDATE($C$3,-$K$3),'Actual vs Budget'!$C$5:$N$5,"&lt;="&amp;$C$3)</f>
        <v>879.99999999999989</v>
      </c>
      <c r="K13" s="20">
        <f>SUMIFS('Actual vs Budget'!$C153:$N153,'Actual vs Budget'!$C$5:$N$5,"&gt;"&amp;EDATE($C$3,-$K$3),'Actual vs Budget'!$C$5:$N$5,"&lt;="&amp;$C$3)</f>
        <v>-69.187925769900403</v>
      </c>
      <c r="L13" s="30">
        <f t="shared" si="0"/>
        <v>-8.5331642150984571E-2</v>
      </c>
      <c r="M13" s="25" t="str">
        <f t="shared" si="1"/>
        <v>YTD</v>
      </c>
      <c r="N13" s="25" t="str">
        <f t="shared" si="2"/>
        <v>Unfav</v>
      </c>
      <c r="O13" s="13" t="s">
        <v>69</v>
      </c>
      <c r="P13" s="13" t="s">
        <v>286</v>
      </c>
      <c r="Q13" s="25" t="str">
        <f t="shared" si="3"/>
        <v>Reforecast</v>
      </c>
      <c r="R13" s="13"/>
      <c r="S13" s="13"/>
      <c r="T13" s="60" t="str">
        <f t="shared" si="4"/>
        <v>Reforecast</v>
      </c>
      <c r="U13" s="30">
        <f t="shared" si="6"/>
        <v>8.5331642150984571E-2</v>
      </c>
      <c r="V13" s="30">
        <f>IF(T13="Reforecast",U13,IF(T13="Cut spend",U13*(1-'Assumptions &amp; Budget'!$C$12),0))</f>
        <v>8.5331642150984571E-2</v>
      </c>
      <c r="W13" s="20">
        <f t="shared" si="7"/>
        <v>0</v>
      </c>
      <c r="X13" s="20">
        <f t="shared" si="5"/>
        <v>-95.344748828554316</v>
      </c>
    </row>
    <row r="14" spans="1:24" x14ac:dyDescent="0.35">
      <c r="A14" s="5" t="s">
        <v>115</v>
      </c>
      <c r="B14" s="14" t="str">
        <f>'Assumptions &amp; Budget'!B49</f>
        <v>Operations</v>
      </c>
      <c r="C14" s="14" t="str">
        <f>'Assumptions &amp; Budget'!D49</f>
        <v>Committed</v>
      </c>
      <c r="D14" s="51">
        <f>'Actual vs Budget'!O71</f>
        <v>205.905</v>
      </c>
      <c r="E14" s="51">
        <f>'Actual vs Budget'!O23</f>
        <v>278.60000000000002</v>
      </c>
      <c r="F14" s="51">
        <f>'Actual vs Budget'!O100</f>
        <v>205.905</v>
      </c>
      <c r="G14" s="18">
        <f>'Actual vs Budget'!O154</f>
        <v>-72.694999999999993</v>
      </c>
      <c r="H14" s="59">
        <f>'Actual vs Budget'!P154</f>
        <v>-0.35305116437191908</v>
      </c>
      <c r="I14" s="19">
        <f>SUMIFS('Actual vs Budget'!$C100:$N100,'Actual vs Budget'!$C$5:$N$5,"&gt;"&amp;EDATE($C$3,-$K$3),'Actual vs Budget'!$C$5:$N$5,"&lt;="&amp;$C$3)</f>
        <v>102.95250000000001</v>
      </c>
      <c r="J14" s="19">
        <f>SUMIFS('Actual vs Budget'!$C23:$N23,'Actual vs Budget'!$C$5:$N$5,"&gt;"&amp;EDATE($C$3,-$K$3),'Actual vs Budget'!$C$5:$N$5,"&lt;="&amp;$C$3)</f>
        <v>174.39999999999998</v>
      </c>
      <c r="K14" s="20">
        <f>SUMIFS('Actual vs Budget'!$C154:$N154,'Actual vs Budget'!$C$5:$N$5,"&gt;"&amp;EDATE($C$3,-$K$3),'Actual vs Budget'!$C$5:$N$5,"&lt;="&amp;$C$3)</f>
        <v>-71.447499999999991</v>
      </c>
      <c r="L14" s="30">
        <f t="shared" si="0"/>
        <v>-0.69398509021150512</v>
      </c>
      <c r="M14" s="25" t="str">
        <f t="shared" si="1"/>
        <v>YTD</v>
      </c>
      <c r="N14" s="25" t="str">
        <f t="shared" si="2"/>
        <v>Unfav</v>
      </c>
      <c r="O14" s="13" t="s">
        <v>68</v>
      </c>
      <c r="P14" s="13" t="s">
        <v>287</v>
      </c>
      <c r="Q14" s="25" t="str">
        <f t="shared" si="3"/>
        <v>Ignore</v>
      </c>
      <c r="R14" s="13"/>
      <c r="S14" s="13"/>
      <c r="T14" s="60" t="str">
        <f t="shared" si="4"/>
        <v>Ignore</v>
      </c>
      <c r="U14" s="30">
        <f t="shared" si="6"/>
        <v>0.69398509021150512</v>
      </c>
      <c r="V14" s="30">
        <f>IF(T14="Reforecast",U14,IF(T14="Cut spend",U14*(1-'Assumptions &amp; Budget'!$C$12),0))</f>
        <v>0</v>
      </c>
      <c r="W14" s="20">
        <f t="shared" si="7"/>
        <v>0</v>
      </c>
      <c r="X14" s="20">
        <f t="shared" si="5"/>
        <v>-72.694999999999993</v>
      </c>
    </row>
    <row r="15" spans="1:24" x14ac:dyDescent="0.35">
      <c r="A15" s="5" t="s">
        <v>117</v>
      </c>
      <c r="B15" s="14" t="str">
        <f>'Assumptions &amp; Budget'!B50</f>
        <v>Marketing</v>
      </c>
      <c r="C15" s="14" t="str">
        <f>'Assumptions &amp; Budget'!D50</f>
        <v>Committed</v>
      </c>
      <c r="D15" s="51">
        <f>'Actual vs Budget'!O73</f>
        <v>554.66127835051554</v>
      </c>
      <c r="E15" s="51">
        <f>'Actual vs Budget'!O25</f>
        <v>551.9</v>
      </c>
      <c r="F15" s="51">
        <f>'Actual vs Budget'!O102</f>
        <v>554.66127835051554</v>
      </c>
      <c r="G15" s="18">
        <f>'Actual vs Budget'!O156</f>
        <v>2.7612783505154965</v>
      </c>
      <c r="H15" s="59">
        <f>'Actual vs Budget'!P156</f>
        <v>4.9783146188375526E-3</v>
      </c>
      <c r="I15" s="19">
        <f>SUMIFS('Actual vs Budget'!$C102:$N102,'Actual vs Budget'!$C$5:$N$5,"&gt;"&amp;EDATE($C$3,-$K$3),'Actual vs Budget'!$C$5:$N$5,"&lt;="&amp;$C$3)</f>
        <v>281.53261855670104</v>
      </c>
      <c r="J15" s="19">
        <f>SUMIFS('Actual vs Budget'!$C25:$N25,'Actual vs Budget'!$C$5:$N$5,"&gt;"&amp;EDATE($C$3,-$K$3),'Actual vs Budget'!$C$5:$N$5,"&lt;="&amp;$C$3)</f>
        <v>280</v>
      </c>
      <c r="K15" s="20">
        <f>SUMIFS('Actual vs Budget'!$C156:$N156,'Actual vs Budget'!$C$5:$N$5,"&gt;"&amp;EDATE($C$3,-$K$3),'Actual vs Budget'!$C$5:$N$5,"&lt;="&amp;$C$3)</f>
        <v>1.5326185567010526</v>
      </c>
      <c r="L15" s="30">
        <f t="shared" si="0"/>
        <v>5.4438400941181925E-3</v>
      </c>
      <c r="M15" s="25" t="str">
        <f t="shared" si="1"/>
        <v>–</v>
      </c>
      <c r="N15" s="25" t="str">
        <f t="shared" si="2"/>
        <v>–</v>
      </c>
      <c r="O15" s="13"/>
      <c r="P15" s="13"/>
      <c r="Q15" s="25" t="str">
        <f t="shared" si="3"/>
        <v>No action</v>
      </c>
      <c r="R15" s="13"/>
      <c r="S15" s="13"/>
      <c r="T15" s="60" t="str">
        <f t="shared" si="4"/>
        <v>No action</v>
      </c>
      <c r="U15" s="30">
        <f t="shared" si="6"/>
        <v>-5.4438400941181925E-3</v>
      </c>
      <c r="V15" s="30">
        <f>IF(T15="Reforecast",U15,IF(T15="Cut spend",U15*(1-'Assumptions &amp; Budget'!$C$12),0))</f>
        <v>0</v>
      </c>
      <c r="W15" s="20">
        <f t="shared" si="7"/>
        <v>0</v>
      </c>
      <c r="X15" s="20">
        <f t="shared" si="5"/>
        <v>0</v>
      </c>
    </row>
    <row r="16" spans="1:24" x14ac:dyDescent="0.35">
      <c r="A16" s="5" t="s">
        <v>118</v>
      </c>
      <c r="B16" s="14" t="str">
        <f>'Assumptions &amp; Budget'!B51</f>
        <v>Marketing</v>
      </c>
      <c r="C16" s="14" t="str">
        <f>'Assumptions &amp; Budget'!D51</f>
        <v>Discretionary</v>
      </c>
      <c r="D16" s="51">
        <f>'Actual vs Budget'!O74</f>
        <v>4563.9564265127201</v>
      </c>
      <c r="E16" s="51">
        <f>'Actual vs Budget'!O26</f>
        <v>4735.3999999999996</v>
      </c>
      <c r="F16" s="51">
        <f>'Actual vs Budget'!O103</f>
        <v>4563.9564265127201</v>
      </c>
      <c r="G16" s="18">
        <f>'Actual vs Budget'!O157</f>
        <v>-171.44357348727999</v>
      </c>
      <c r="H16" s="59">
        <f>'Actual vs Budget'!P157</f>
        <v>-3.7564682364480538E-2</v>
      </c>
      <c r="I16" s="19">
        <f>SUMIFS('Actual vs Budget'!$C103:$N103,'Actual vs Budget'!$C$5:$N$5,"&gt;"&amp;EDATE($C$3,-$K$3),'Actual vs Budget'!$C$5:$N$5,"&lt;="&amp;$C$3)</f>
        <v>2304.461383087305</v>
      </c>
      <c r="J16" s="19">
        <f>SUMIFS('Actual vs Budget'!$C26:$N26,'Actual vs Budget'!$C$5:$N$5,"&gt;"&amp;EDATE($C$3,-$K$3),'Actual vs Budget'!$C$5:$N$5,"&lt;="&amp;$C$3)</f>
        <v>2497</v>
      </c>
      <c r="K16" s="20">
        <f>SUMIFS('Actual vs Budget'!$C157:$N157,'Actual vs Budget'!$C$5:$N$5,"&gt;"&amp;EDATE($C$3,-$K$3),'Actual vs Budget'!$C$5:$N$5,"&lt;="&amp;$C$3)</f>
        <v>-192.53861691269469</v>
      </c>
      <c r="L16" s="30">
        <f t="shared" si="0"/>
        <v>-8.355037681505828E-2</v>
      </c>
      <c r="M16" s="25" t="str">
        <f t="shared" si="1"/>
        <v>Run-rate</v>
      </c>
      <c r="N16" s="25" t="str">
        <f t="shared" si="2"/>
        <v>Unfav</v>
      </c>
      <c r="O16" s="13" t="s">
        <v>67</v>
      </c>
      <c r="P16" s="13" t="s">
        <v>288</v>
      </c>
      <c r="Q16" s="25" t="str">
        <f t="shared" si="3"/>
        <v>Ignore</v>
      </c>
      <c r="R16" s="13"/>
      <c r="S16" s="13"/>
      <c r="T16" s="60" t="str">
        <f t="shared" si="4"/>
        <v>Ignore</v>
      </c>
      <c r="U16" s="30">
        <f t="shared" si="6"/>
        <v>8.355037681505828E-2</v>
      </c>
      <c r="V16" s="30">
        <f>IF(T16="Reforecast",U16,IF(T16="Cut spend",U16*(1-'Assumptions &amp; Budget'!$C$12),0))</f>
        <v>0</v>
      </c>
      <c r="W16" s="20">
        <f t="shared" si="7"/>
        <v>-171.44357348727999</v>
      </c>
      <c r="X16" s="20">
        <f t="shared" si="5"/>
        <v>-192.53861691269469</v>
      </c>
    </row>
    <row r="17" spans="1:24" x14ac:dyDescent="0.35">
      <c r="A17" s="5" t="s">
        <v>119</v>
      </c>
      <c r="B17" s="14" t="str">
        <f>'Assumptions &amp; Budget'!B52</f>
        <v>Marketing</v>
      </c>
      <c r="C17" s="14" t="str">
        <f>'Assumptions &amp; Budget'!D52</f>
        <v>Discretionary</v>
      </c>
      <c r="D17" s="51">
        <f>'Actual vs Budget'!O75</f>
        <v>2122.7704309361493</v>
      </c>
      <c r="E17" s="51">
        <f>'Actual vs Budget'!O27</f>
        <v>2320.1</v>
      </c>
      <c r="F17" s="51">
        <f>'Actual vs Budget'!O104</f>
        <v>2122.7704309361493</v>
      </c>
      <c r="G17" s="18">
        <f>'Actual vs Budget'!O158</f>
        <v>-197.32956906385095</v>
      </c>
      <c r="H17" s="59">
        <f>'Actual vs Budget'!P158</f>
        <v>-9.2958506576157604E-2</v>
      </c>
      <c r="I17" s="19">
        <f>SUMIFS('Actual vs Budget'!$C104:$N104,'Actual vs Budget'!$C$5:$N$5,"&gt;"&amp;EDATE($C$3,-$K$3),'Actual vs Budget'!$C$5:$N$5,"&lt;="&amp;$C$3)</f>
        <v>1071.8425037615375</v>
      </c>
      <c r="J17" s="19">
        <f>SUMIFS('Actual vs Budget'!$C27:$N27,'Actual vs Budget'!$C$5:$N$5,"&gt;"&amp;EDATE($C$3,-$K$3),'Actual vs Budget'!$C$5:$N$5,"&lt;="&amp;$C$3)</f>
        <v>1209</v>
      </c>
      <c r="K17" s="20">
        <f>SUMIFS('Actual vs Budget'!$C158:$N158,'Actual vs Budget'!$C$5:$N$5,"&gt;"&amp;EDATE($C$3,-$K$3),'Actual vs Budget'!$C$5:$N$5,"&lt;="&amp;$C$3)</f>
        <v>-137.15749623846256</v>
      </c>
      <c r="L17" s="30">
        <f t="shared" si="0"/>
        <v>-0.12796422586072145</v>
      </c>
      <c r="M17" s="25" t="str">
        <f t="shared" si="1"/>
        <v>YTD</v>
      </c>
      <c r="N17" s="25" t="str">
        <f t="shared" si="2"/>
        <v>Unfav</v>
      </c>
      <c r="O17" s="13" t="s">
        <v>69</v>
      </c>
      <c r="P17" s="13" t="s">
        <v>289</v>
      </c>
      <c r="Q17" s="25" t="str">
        <f t="shared" si="3"/>
        <v>Reforecast</v>
      </c>
      <c r="R17" s="13" t="s">
        <v>290</v>
      </c>
      <c r="S17" s="13" t="s">
        <v>291</v>
      </c>
      <c r="T17" s="60" t="str">
        <f t="shared" si="4"/>
        <v>Cut spend</v>
      </c>
      <c r="U17" s="30">
        <f t="shared" si="6"/>
        <v>0.12796422586072145</v>
      </c>
      <c r="V17" s="30">
        <f>IF(T17="Reforecast",U17,IF(T17="Cut spend",U17*(1-'Assumptions &amp; Budget'!$C$12),0))</f>
        <v>6.3982112930360727E-2</v>
      </c>
      <c r="W17" s="20">
        <f t="shared" si="7"/>
        <v>0</v>
      </c>
      <c r="X17" s="20">
        <f t="shared" si="5"/>
        <v>-197.32956906385095</v>
      </c>
    </row>
    <row r="18" spans="1:24" x14ac:dyDescent="0.35">
      <c r="A18" s="5" t="s">
        <v>121</v>
      </c>
      <c r="B18" s="14" t="str">
        <f>'Assumptions &amp; Budget'!B53</f>
        <v>HR</v>
      </c>
      <c r="C18" s="14" t="str">
        <f>'Assumptions &amp; Budget'!D53</f>
        <v>Committed</v>
      </c>
      <c r="D18" s="51">
        <f>'Actual vs Budget'!O77</f>
        <v>90.072000000000003</v>
      </c>
      <c r="E18" s="51">
        <f>'Actual vs Budget'!O29</f>
        <v>84.5</v>
      </c>
      <c r="F18" s="51">
        <f>'Actual vs Budget'!O106</f>
        <v>90.072000000000003</v>
      </c>
      <c r="G18" s="18">
        <f>'Actual vs Budget'!O160</f>
        <v>5.572000000000001</v>
      </c>
      <c r="H18" s="59">
        <f>'Actual vs Budget'!P160</f>
        <v>6.1861621813660193E-2</v>
      </c>
      <c r="I18" s="19">
        <f>SUMIFS('Actual vs Budget'!$C106:$N106,'Actual vs Budget'!$C$5:$N$5,"&gt;"&amp;EDATE($C$3,-$K$3),'Actual vs Budget'!$C$5:$N$5,"&lt;="&amp;$C$3)</f>
        <v>45.036000000000001</v>
      </c>
      <c r="J18" s="19">
        <f>SUMIFS('Actual vs Budget'!$C29:$N29,'Actual vs Budget'!$C$5:$N$5,"&gt;"&amp;EDATE($C$3,-$K$3),'Actual vs Budget'!$C$5:$N$5,"&lt;="&amp;$C$3)</f>
        <v>42.7</v>
      </c>
      <c r="K18" s="20">
        <f>SUMIFS('Actual vs Budget'!$C160:$N160,'Actual vs Budget'!$C$5:$N$5,"&gt;"&amp;EDATE($C$3,-$K$3),'Actual vs Budget'!$C$5:$N$5,"&lt;="&amp;$C$3)</f>
        <v>2.3360000000000003</v>
      </c>
      <c r="L18" s="30">
        <f t="shared" si="0"/>
        <v>5.1869615418776098E-2</v>
      </c>
      <c r="M18" s="25" t="str">
        <f t="shared" si="1"/>
        <v>–</v>
      </c>
      <c r="N18" s="25" t="str">
        <f t="shared" si="2"/>
        <v>–</v>
      </c>
      <c r="O18" s="13"/>
      <c r="P18" s="13"/>
      <c r="Q18" s="25" t="str">
        <f t="shared" si="3"/>
        <v>No action</v>
      </c>
      <c r="R18" s="13"/>
      <c r="S18" s="13"/>
      <c r="T18" s="60" t="str">
        <f t="shared" si="4"/>
        <v>No action</v>
      </c>
      <c r="U18" s="30">
        <f t="shared" si="6"/>
        <v>-5.1869615418776098E-2</v>
      </c>
      <c r="V18" s="30">
        <f>IF(T18="Reforecast",U18,IF(T18="Cut spend",U18*(1-'Assumptions &amp; Budget'!$C$12),0))</f>
        <v>0</v>
      </c>
      <c r="W18" s="20">
        <f t="shared" si="7"/>
        <v>0</v>
      </c>
      <c r="X18" s="20">
        <f t="shared" si="5"/>
        <v>0</v>
      </c>
    </row>
    <row r="19" spans="1:24" x14ac:dyDescent="0.35">
      <c r="A19" s="5" t="s">
        <v>122</v>
      </c>
      <c r="B19" s="14" t="str">
        <f>'Assumptions &amp; Budget'!B54</f>
        <v>HR</v>
      </c>
      <c r="C19" s="14" t="str">
        <f>'Assumptions &amp; Budget'!D54</f>
        <v>Discretionary</v>
      </c>
      <c r="D19" s="51">
        <f>'Actual vs Budget'!O78</f>
        <v>60.742500000000007</v>
      </c>
      <c r="E19" s="51">
        <f>'Actual vs Budget'!O30</f>
        <v>60</v>
      </c>
      <c r="F19" s="51">
        <f>'Actual vs Budget'!O107</f>
        <v>60.742500000000007</v>
      </c>
      <c r="G19" s="18">
        <f>'Actual vs Budget'!O161</f>
        <v>0.74250000000001037</v>
      </c>
      <c r="H19" s="59">
        <f>'Actual vs Budget'!P161</f>
        <v>1.2223731324855091E-2</v>
      </c>
      <c r="I19" s="19">
        <f>SUMIFS('Actual vs Budget'!$C107:$N107,'Actual vs Budget'!$C$5:$N$5,"&gt;"&amp;EDATE($C$3,-$K$3),'Actual vs Budget'!$C$5:$N$5,"&lt;="&amp;$C$3)</f>
        <v>30.371250000000003</v>
      </c>
      <c r="J19" s="19">
        <f>SUMIFS('Actual vs Budget'!$C30:$N30,'Actual vs Budget'!$C$5:$N$5,"&gt;"&amp;EDATE($C$3,-$K$3),'Actual vs Budget'!$C$5:$N$5,"&lt;="&amp;$C$3)</f>
        <v>30.9</v>
      </c>
      <c r="K19" s="20">
        <f>SUMIFS('Actual vs Budget'!$C161:$N161,'Actual vs Budget'!$C$5:$N$5,"&gt;"&amp;EDATE($C$3,-$K$3),'Actual vs Budget'!$C$5:$N$5,"&lt;="&amp;$C$3)</f>
        <v>-0.52874999999999517</v>
      </c>
      <c r="L19" s="30">
        <f t="shared" si="0"/>
        <v>-1.7409556735399272E-2</v>
      </c>
      <c r="M19" s="25" t="str">
        <f t="shared" si="1"/>
        <v>–</v>
      </c>
      <c r="N19" s="25" t="str">
        <f t="shared" si="2"/>
        <v>–</v>
      </c>
      <c r="O19" s="13"/>
      <c r="P19" s="13"/>
      <c r="Q19" s="25" t="str">
        <f t="shared" si="3"/>
        <v>No action</v>
      </c>
      <c r="R19" s="13"/>
      <c r="S19" s="13"/>
      <c r="T19" s="60" t="str">
        <f t="shared" si="4"/>
        <v>No action</v>
      </c>
      <c r="U19" s="30">
        <f t="shared" si="6"/>
        <v>1.7409556735399272E-2</v>
      </c>
      <c r="V19" s="30">
        <f>IF(T19="Reforecast",U19,IF(T19="Cut spend",U19*(1-'Assumptions &amp; Budget'!$C$12),0))</f>
        <v>0</v>
      </c>
      <c r="W19" s="20">
        <f t="shared" si="7"/>
        <v>0</v>
      </c>
      <c r="X19" s="20">
        <f t="shared" si="5"/>
        <v>0</v>
      </c>
    </row>
    <row r="20" spans="1:24" x14ac:dyDescent="0.35">
      <c r="A20" s="5" t="s">
        <v>124</v>
      </c>
      <c r="B20" s="14" t="str">
        <f>'Assumptions &amp; Budget'!B55</f>
        <v>IT</v>
      </c>
      <c r="C20" s="14" t="str">
        <f>'Assumptions &amp; Budget'!D55</f>
        <v>Committed</v>
      </c>
      <c r="D20" s="51">
        <f>'Actual vs Budget'!O80</f>
        <v>578.30864516129031</v>
      </c>
      <c r="E20" s="51">
        <f>'Actual vs Budget'!O32</f>
        <v>579.9</v>
      </c>
      <c r="F20" s="51">
        <f>'Actual vs Budget'!O109</f>
        <v>578.30864516129031</v>
      </c>
      <c r="G20" s="18">
        <f>'Actual vs Budget'!O163</f>
        <v>-1.5913548387096341</v>
      </c>
      <c r="H20" s="59">
        <f>'Actual vs Budget'!P163</f>
        <v>-2.7517396670869499E-3</v>
      </c>
      <c r="I20" s="19">
        <f>SUMIFS('Actual vs Budget'!$C109:$N109,'Actual vs Budget'!$C$5:$N$5,"&gt;"&amp;EDATE($C$3,-$K$3),'Actual vs Budget'!$C$5:$N$5,"&lt;="&amp;$C$3)</f>
        <v>294.61006451612906</v>
      </c>
      <c r="J20" s="19">
        <f>SUMIFS('Actual vs Budget'!$C32:$N32,'Actual vs Budget'!$C$5:$N$5,"&gt;"&amp;EDATE($C$3,-$K$3),'Actual vs Budget'!$C$5:$N$5,"&lt;="&amp;$C$3)</f>
        <v>295.89999999999998</v>
      </c>
      <c r="K20" s="20">
        <f>SUMIFS('Actual vs Budget'!$C163:$N163,'Actual vs Budget'!$C$5:$N$5,"&gt;"&amp;EDATE($C$3,-$K$3),'Actual vs Budget'!$C$5:$N$5,"&lt;="&amp;$C$3)</f>
        <v>-1.2899354838709485</v>
      </c>
      <c r="L20" s="30">
        <f t="shared" si="0"/>
        <v>-4.3784501591605613E-3</v>
      </c>
      <c r="M20" s="25" t="str">
        <f t="shared" si="1"/>
        <v>–</v>
      </c>
      <c r="N20" s="25" t="str">
        <f t="shared" si="2"/>
        <v>–</v>
      </c>
      <c r="O20" s="13"/>
      <c r="P20" s="13"/>
      <c r="Q20" s="25" t="str">
        <f t="shared" si="3"/>
        <v>No action</v>
      </c>
      <c r="R20" s="13"/>
      <c r="S20" s="13"/>
      <c r="T20" s="60" t="str">
        <f t="shared" si="4"/>
        <v>No action</v>
      </c>
      <c r="U20" s="30">
        <f t="shared" si="6"/>
        <v>4.3784501591605613E-3</v>
      </c>
      <c r="V20" s="30">
        <f>IF(T20="Reforecast",U20,IF(T20="Cut spend",U20*(1-'Assumptions &amp; Budget'!$C$12),0))</f>
        <v>0</v>
      </c>
      <c r="W20" s="20">
        <f t="shared" si="7"/>
        <v>0</v>
      </c>
      <c r="X20" s="20">
        <f t="shared" si="5"/>
        <v>0</v>
      </c>
    </row>
    <row r="21" spans="1:24" x14ac:dyDescent="0.35">
      <c r="A21" s="5" t="s">
        <v>125</v>
      </c>
      <c r="B21" s="14" t="str">
        <f>'Assumptions &amp; Budget'!B56</f>
        <v>IT</v>
      </c>
      <c r="C21" s="14" t="str">
        <f>'Assumptions &amp; Budget'!D56</f>
        <v>Committed</v>
      </c>
      <c r="D21" s="51">
        <f>'Actual vs Budget'!O81</f>
        <v>313.26400000000007</v>
      </c>
      <c r="E21" s="51">
        <f>'Actual vs Budget'!O33</f>
        <v>394.5</v>
      </c>
      <c r="F21" s="51">
        <f>'Actual vs Budget'!O110</f>
        <v>313.26400000000007</v>
      </c>
      <c r="G21" s="18">
        <f>'Actual vs Budget'!O164</f>
        <v>-81.235999999999905</v>
      </c>
      <c r="H21" s="59">
        <f>'Actual vs Budget'!P164</f>
        <v>-0.25932121150211923</v>
      </c>
      <c r="I21" s="19">
        <f>SUMIFS('Actual vs Budget'!$C110:$N110,'Actual vs Budget'!$C$5:$N$5,"&gt;"&amp;EDATE($C$3,-$K$3),'Actual vs Budget'!$C$5:$N$5,"&lt;="&amp;$C$3)</f>
        <v>156.63200000000006</v>
      </c>
      <c r="J21" s="19">
        <f>SUMIFS('Actual vs Budget'!$C33:$N33,'Actual vs Budget'!$C$5:$N$5,"&gt;"&amp;EDATE($C$3,-$K$3),'Actual vs Budget'!$C$5:$N$5,"&lt;="&amp;$C$3)</f>
        <v>153.20000000000002</v>
      </c>
      <c r="K21" s="20">
        <f>SUMIFS('Actual vs Budget'!$C164:$N164,'Actual vs Budget'!$C$5:$N$5,"&gt;"&amp;EDATE($C$3,-$K$3),'Actual vs Budget'!$C$5:$N$5,"&lt;="&amp;$C$3)</f>
        <v>3.4320000000000448</v>
      </c>
      <c r="L21" s="30">
        <f t="shared" si="0"/>
        <v>2.1911231421421186E-2</v>
      </c>
      <c r="M21" s="25" t="str">
        <f t="shared" si="1"/>
        <v>YTD</v>
      </c>
      <c r="N21" s="25" t="str">
        <f t="shared" si="2"/>
        <v>Unfav</v>
      </c>
      <c r="O21" s="13" t="s">
        <v>68</v>
      </c>
      <c r="P21" s="13" t="s">
        <v>292</v>
      </c>
      <c r="Q21" s="25" t="str">
        <f t="shared" si="3"/>
        <v>Ignore</v>
      </c>
      <c r="R21" s="13"/>
      <c r="S21" s="13"/>
      <c r="T21" s="60" t="str">
        <f t="shared" si="4"/>
        <v>Ignore</v>
      </c>
      <c r="U21" s="30">
        <f t="shared" si="6"/>
        <v>-2.1911231421421186E-2</v>
      </c>
      <c r="V21" s="30">
        <f>IF(T21="Reforecast",U21,IF(T21="Cut spend",U21*(1-'Assumptions &amp; Budget'!$C$12),0))</f>
        <v>0</v>
      </c>
      <c r="W21" s="20">
        <f t="shared" si="7"/>
        <v>0</v>
      </c>
      <c r="X21" s="20">
        <f t="shared" si="5"/>
        <v>-81.235999999999905</v>
      </c>
    </row>
    <row r="22" spans="1:24" x14ac:dyDescent="0.35">
      <c r="A22" s="5" t="s">
        <v>127</v>
      </c>
      <c r="B22" s="14" t="str">
        <f>'Assumptions &amp; Budget'!B57</f>
        <v>Finance</v>
      </c>
      <c r="C22" s="14" t="str">
        <f>'Assumptions &amp; Budget'!D57</f>
        <v>Committed</v>
      </c>
      <c r="D22" s="51">
        <f>'Actual vs Budget'!O83</f>
        <v>235.87199999999993</v>
      </c>
      <c r="E22" s="51">
        <f>'Actual vs Budget'!O35</f>
        <v>235.09999999999997</v>
      </c>
      <c r="F22" s="51">
        <f>'Actual vs Budget'!O112</f>
        <v>235.87199999999993</v>
      </c>
      <c r="G22" s="18">
        <f>'Actual vs Budget'!O166</f>
        <v>0.77199999999993452</v>
      </c>
      <c r="H22" s="59">
        <f>'Actual vs Budget'!P166</f>
        <v>3.2729616062946629E-3</v>
      </c>
      <c r="I22" s="19">
        <f>SUMIFS('Actual vs Budget'!$C112:$N112,'Actual vs Budget'!$C$5:$N$5,"&gt;"&amp;EDATE($C$3,-$K$3),'Actual vs Budget'!$C$5:$N$5,"&lt;="&amp;$C$3)</f>
        <v>117.93599999999998</v>
      </c>
      <c r="J22" s="19">
        <f>SUMIFS('Actual vs Budget'!$C35:$N35,'Actual vs Budget'!$C$5:$N$5,"&gt;"&amp;EDATE($C$3,-$K$3),'Actual vs Budget'!$C$5:$N$5,"&lt;="&amp;$C$3)</f>
        <v>117.50000000000001</v>
      </c>
      <c r="K22" s="20">
        <f>SUMIFS('Actual vs Budget'!$C166:$N166,'Actual vs Budget'!$C$5:$N$5,"&gt;"&amp;EDATE($C$3,-$K$3),'Actual vs Budget'!$C$5:$N$5,"&lt;="&amp;$C$3)</f>
        <v>0.43599999999996442</v>
      </c>
      <c r="L22" s="30">
        <f t="shared" si="0"/>
        <v>3.6969203635867291E-3</v>
      </c>
      <c r="M22" s="25" t="str">
        <f t="shared" si="1"/>
        <v>–</v>
      </c>
      <c r="N22" s="25" t="str">
        <f t="shared" si="2"/>
        <v>–</v>
      </c>
      <c r="O22" s="13"/>
      <c r="P22" s="13"/>
      <c r="Q22" s="25" t="str">
        <f t="shared" si="3"/>
        <v>No action</v>
      </c>
      <c r="R22" s="13"/>
      <c r="S22" s="13"/>
      <c r="T22" s="60" t="str">
        <f t="shared" si="4"/>
        <v>No action</v>
      </c>
      <c r="U22" s="30">
        <f t="shared" si="6"/>
        <v>-3.6969203635867291E-3</v>
      </c>
      <c r="V22" s="30">
        <f>IF(T22="Reforecast",U22,IF(T22="Cut spend",U22*(1-'Assumptions &amp; Budget'!$C$12),0))</f>
        <v>0</v>
      </c>
      <c r="W22" s="20">
        <f t="shared" si="7"/>
        <v>0</v>
      </c>
      <c r="X22" s="20">
        <f t="shared" si="5"/>
        <v>0</v>
      </c>
    </row>
    <row r="23" spans="1:24" x14ac:dyDescent="0.35">
      <c r="A23" s="5" t="s">
        <v>128</v>
      </c>
      <c r="B23" s="14" t="str">
        <f>'Assumptions &amp; Budget'!B58</f>
        <v>Finance</v>
      </c>
      <c r="C23" s="14" t="str">
        <f>'Assumptions &amp; Budget'!D58</f>
        <v>Committed</v>
      </c>
      <c r="D23" s="51">
        <f>'Actual vs Budget'!O84</f>
        <v>372.4310000000001</v>
      </c>
      <c r="E23" s="51">
        <f>'Actual vs Budget'!O36</f>
        <v>375.8</v>
      </c>
      <c r="F23" s="51">
        <f>'Actual vs Budget'!O113</f>
        <v>372.4310000000001</v>
      </c>
      <c r="G23" s="18">
        <f>'Actual vs Budget'!O167</f>
        <v>-3.3689999999999358</v>
      </c>
      <c r="H23" s="59">
        <f>'Actual vs Budget'!P167</f>
        <v>-9.0459709315280808E-3</v>
      </c>
      <c r="I23" s="19">
        <f>SUMIFS('Actual vs Budget'!$C113:$N113,'Actual vs Budget'!$C$5:$N$5,"&gt;"&amp;EDATE($C$3,-$K$3),'Actual vs Budget'!$C$5:$N$5,"&lt;="&amp;$C$3)</f>
        <v>186.21550000000002</v>
      </c>
      <c r="J23" s="19">
        <f>SUMIFS('Actual vs Budget'!$C36:$N36,'Actual vs Budget'!$C$5:$N$5,"&gt;"&amp;EDATE($C$3,-$K$3),'Actual vs Budget'!$C$5:$N$5,"&lt;="&amp;$C$3)</f>
        <v>190</v>
      </c>
      <c r="K23" s="20">
        <f>SUMIFS('Actual vs Budget'!$C167:$N167,'Actual vs Budget'!$C$5:$N$5,"&gt;"&amp;EDATE($C$3,-$K$3),'Actual vs Budget'!$C$5:$N$5,"&lt;="&amp;$C$3)</f>
        <v>-3.7844999999999658</v>
      </c>
      <c r="L23" s="30">
        <f t="shared" si="0"/>
        <v>-2.0323227658277456E-2</v>
      </c>
      <c r="M23" s="25" t="str">
        <f t="shared" si="1"/>
        <v>–</v>
      </c>
      <c r="N23" s="25" t="str">
        <f t="shared" si="2"/>
        <v>–</v>
      </c>
      <c r="O23" s="13"/>
      <c r="P23" s="13"/>
      <c r="Q23" s="25" t="str">
        <f t="shared" si="3"/>
        <v>No action</v>
      </c>
      <c r="R23" s="13"/>
      <c r="S23" s="13"/>
      <c r="T23" s="60" t="str">
        <f t="shared" si="4"/>
        <v>No action</v>
      </c>
      <c r="U23" s="30">
        <f t="shared" si="6"/>
        <v>2.0323227658277456E-2</v>
      </c>
      <c r="V23" s="30">
        <f>IF(T23="Reforecast",U23,IF(T23="Cut spend",U23*(1-'Assumptions &amp; Budget'!$C$12),0))</f>
        <v>0</v>
      </c>
      <c r="W23" s="20">
        <f t="shared" si="7"/>
        <v>0</v>
      </c>
      <c r="X23" s="20">
        <f t="shared" si="5"/>
        <v>0</v>
      </c>
    </row>
    <row r="25" spans="1:24" x14ac:dyDescent="0.35">
      <c r="A25" s="7" t="s">
        <v>293</v>
      </c>
      <c r="B25" s="8"/>
      <c r="C25" s="8"/>
      <c r="D25" s="8"/>
      <c r="E25" s="8"/>
      <c r="F25" s="8"/>
      <c r="G25" s="8"/>
      <c r="H25" s="8"/>
    </row>
    <row r="26" spans="1:24" x14ac:dyDescent="0.35">
      <c r="A26" s="5" t="s">
        <v>294</v>
      </c>
      <c r="C26" s="42">
        <f>COUNTA(A8:A23)</f>
        <v>16</v>
      </c>
    </row>
    <row r="27" spans="1:24" x14ac:dyDescent="0.35">
      <c r="A27" s="5" t="s">
        <v>295</v>
      </c>
      <c r="C27" s="42">
        <f>COUNTIF(M8:M23,"YTD")+COUNTIF(M8:M23,"Run-rate")</f>
        <v>8</v>
      </c>
    </row>
    <row r="28" spans="1:24" x14ac:dyDescent="0.35">
      <c r="A28" s="5" t="s">
        <v>296</v>
      </c>
      <c r="C28" s="42">
        <f>COUNTIF(O8:O23,"Timing")</f>
        <v>1</v>
      </c>
    </row>
    <row r="29" spans="1:24" x14ac:dyDescent="0.35">
      <c r="A29" s="5" t="s">
        <v>297</v>
      </c>
      <c r="C29" s="42">
        <f>COUNTIF(O8:O23,"One-off")</f>
        <v>2</v>
      </c>
    </row>
    <row r="30" spans="1:24" x14ac:dyDescent="0.35">
      <c r="A30" s="5" t="s">
        <v>298</v>
      </c>
      <c r="C30" s="42">
        <f>COUNTIF(O8:O23,"Structural")</f>
        <v>5</v>
      </c>
    </row>
    <row r="31" spans="1:24" x14ac:dyDescent="0.35">
      <c r="A31" s="5" t="s">
        <v>299</v>
      </c>
      <c r="C31" s="42">
        <f>COUNTIF(T8:T23,"Classify cause")</f>
        <v>0</v>
      </c>
    </row>
    <row r="32" spans="1:24" x14ac:dyDescent="0.35">
      <c r="A32" s="5" t="s">
        <v>300</v>
      </c>
      <c r="C32" s="42">
        <f>COUNTIF(T8:T23,"Reforecast")</f>
        <v>4</v>
      </c>
    </row>
    <row r="33" spans="1:8" x14ac:dyDescent="0.35">
      <c r="A33" s="5" t="s">
        <v>301</v>
      </c>
      <c r="C33" s="42">
        <f>COUNTIF(T8:T23,"Cut spend")</f>
        <v>1</v>
      </c>
    </row>
    <row r="34" spans="1:8" x14ac:dyDescent="0.35">
      <c r="A34" s="5" t="s">
        <v>302</v>
      </c>
      <c r="C34" s="42">
        <f>COUNTIF(T8:T23,"Ignore")</f>
        <v>3</v>
      </c>
    </row>
    <row r="35" spans="1:8" x14ac:dyDescent="0.35">
      <c r="A35" s="5" t="s">
        <v>303</v>
      </c>
      <c r="C35" s="42">
        <f>COUNTIF(R8:R23,"?*")</f>
        <v>1</v>
      </c>
    </row>
    <row r="36" spans="1:8" x14ac:dyDescent="0.35">
      <c r="A36" s="5" t="s">
        <v>304</v>
      </c>
      <c r="C36" s="42">
        <f>COUNTIF(T8:T23,"Reason required")</f>
        <v>0</v>
      </c>
    </row>
    <row r="38" spans="1:8" x14ac:dyDescent="0.35">
      <c r="A38" s="7" t="s">
        <v>305</v>
      </c>
      <c r="B38" s="8"/>
      <c r="C38" s="8"/>
      <c r="D38" s="8"/>
      <c r="E38" s="8"/>
      <c r="F38" s="8"/>
      <c r="G38" s="8"/>
      <c r="H38" s="8"/>
    </row>
    <row r="39" spans="1:8" x14ac:dyDescent="0.35">
      <c r="A39" s="5" t="s">
        <v>306</v>
      </c>
      <c r="C39" s="30">
        <f>IF(SUMIFS('Actual vs Budget'!$C61:$N61,'Actual vs Budget'!$C$5:$N$5,"&gt;"&amp;EDATE($C$3,-$K$3),'Actual vs Budget'!$C$5:$N$5,"&lt;="&amp;$C$3)=0,0,SUMIFS('Actual vs Budget'!$C10:$N10,'Actual vs Budget'!$C$5:$N$5,"&gt;"&amp;EDATE($C$3,-$K$3),'Actual vs Budget'!$C$5:$N$5,"&lt;="&amp;$C$3)/SUMIFS('Actual vs Budget'!$C61:$N61,'Actual vs Budget'!$C$5:$N$5,"&gt;"&amp;EDATE($C$3,-$K$3),'Actual vs Budget'!$C$5:$N$5,"&lt;="&amp;$C$3)-1)</f>
        <v>2.2220186045028401E-2</v>
      </c>
    </row>
    <row r="40" spans="1:8" x14ac:dyDescent="0.35">
      <c r="A40" s="5" t="s">
        <v>307</v>
      </c>
      <c r="C40" s="30">
        <f>IF(OR(SUMIFS('Actual vs Budget'!$C10:$N10,'Actual vs Budget'!$C$5:$N$5,"&gt;"&amp;EDATE($C$3,-$K$3),'Actual vs Budget'!$C$5:$N$5,"&lt;="&amp;$C$3)=0,SUMIFS('Actual vs Budget'!$C61:$N61,'Actual vs Budget'!$C$5:$N$5,"&gt;"&amp;EDATE($C$3,-$K$3),'Actual vs Budget'!$C$5:$N$5,"&lt;="&amp;$C$3)=0,SUMIFS('Actual vs Budget'!$C63:$N63,'Actual vs Budget'!$C$5:$N$5,"&gt;"&amp;EDATE($C$3,-$K$3),'Actual vs Budget'!$C$5:$N$5,"&lt;="&amp;$C$3)=0),0,(SUMIFS('Actual vs Budget'!$C13:$N13,'Actual vs Budget'!$C$5:$N$5,"&gt;"&amp;EDATE($C$3,-$K$3),'Actual vs Budget'!$C$5:$N$5,"&lt;="&amp;$C$3)/SUMIFS('Actual vs Budget'!$C10:$N10,'Actual vs Budget'!$C$5:$N$5,"&gt;"&amp;EDATE($C$3,-$K$3),'Actual vs Budget'!$C$5:$N$5,"&lt;="&amp;$C$3))/(SUMIFS('Actual vs Budget'!$C63:$N63,'Actual vs Budget'!$C$5:$N$5,"&gt;"&amp;EDATE($C$3,-$K$3),'Actual vs Budget'!$C$5:$N$5,"&lt;="&amp;$C$3)/SUMIFS('Actual vs Budget'!$C61:$N61,'Actual vs Budget'!$C$5:$N$5,"&gt;"&amp;EDATE($C$3,-$K$3),'Actual vs Budget'!$C$5:$N$5,"&lt;="&amp;$C$3))-1)</f>
        <v>-1.1322814956427396E-2</v>
      </c>
    </row>
  </sheetData>
  <conditionalFormatting sqref="M8:M23">
    <cfRule type="cellIs" dxfId="0" priority="2" operator="notEqual">
      <formula>"–"</formula>
    </cfRule>
  </conditionalFormatting>
  <dataValidations count="2">
    <dataValidation type="list" allowBlank="1" sqref="O8:O23" xr:uid="{00000000-0002-0000-0500-000000000000}">
      <formula1>"Timing,One-off,Structural"</formula1>
      <formula2>0</formula2>
    </dataValidation>
    <dataValidation type="list" allowBlank="1" sqref="R8:R23" xr:uid="{00000000-0002-0000-0500-000001000000}">
      <formula1>"Reforecast,Cut spend,Ignore"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A1:R44"/>
  <sheetViews>
    <sheetView zoomScale="70" zoomScaleNormal="70" workbookViewId="0">
      <selection activeCell="F3" sqref="F3"/>
    </sheetView>
  </sheetViews>
  <sheetFormatPr defaultColWidth="8.6328125" defaultRowHeight="14.5" x14ac:dyDescent="0.35"/>
  <cols>
    <col min="1" max="1" width="52" customWidth="1"/>
    <col min="2" max="2" width="9" customWidth="1"/>
    <col min="3" max="14" width="11" customWidth="1"/>
    <col min="15" max="18" width="14" customWidth="1"/>
  </cols>
  <sheetData>
    <row r="1" spans="1:18" ht="18" x14ac:dyDescent="0.4">
      <c r="A1" s="23" t="s">
        <v>308</v>
      </c>
    </row>
    <row r="2" spans="1:18" x14ac:dyDescent="0.35">
      <c r="A2" s="6" t="s">
        <v>309</v>
      </c>
    </row>
    <row r="3" spans="1:18" x14ac:dyDescent="0.35">
      <c r="A3" s="5" t="s">
        <v>12</v>
      </c>
      <c r="C3" s="11">
        <f>'Assumptions &amp; Budget'!$C$6</f>
        <v>46266</v>
      </c>
      <c r="D3" s="5" t="s">
        <v>310</v>
      </c>
      <c r="F3" s="55">
        <f>'Assumptions &amp; Budget'!$C$11</f>
        <v>2</v>
      </c>
    </row>
    <row r="5" spans="1:18" ht="27.75" customHeight="1" x14ac:dyDescent="0.35">
      <c r="A5" s="17" t="s">
        <v>89</v>
      </c>
      <c r="B5" s="17" t="s">
        <v>90</v>
      </c>
      <c r="C5" s="24">
        <f>'Assumptions &amp; Budget'!C61</f>
        <v>46113</v>
      </c>
      <c r="D5" s="24">
        <f>'Assumptions &amp; Budget'!D61</f>
        <v>46143</v>
      </c>
      <c r="E5" s="24">
        <f>'Assumptions &amp; Budget'!E61</f>
        <v>46174</v>
      </c>
      <c r="F5" s="24">
        <f>'Assumptions &amp; Budget'!F61</f>
        <v>46204</v>
      </c>
      <c r="G5" s="24">
        <f>'Assumptions &amp; Budget'!G61</f>
        <v>46235</v>
      </c>
      <c r="H5" s="24">
        <f>'Assumptions &amp; Budget'!H61</f>
        <v>46266</v>
      </c>
      <c r="I5" s="24">
        <f>'Assumptions &amp; Budget'!I61</f>
        <v>46296</v>
      </c>
      <c r="J5" s="24">
        <f>'Assumptions &amp; Budget'!J61</f>
        <v>46327</v>
      </c>
      <c r="K5" s="24">
        <f>'Assumptions &amp; Budget'!K61</f>
        <v>46357</v>
      </c>
      <c r="L5" s="24">
        <f>'Assumptions &amp; Budget'!L61</f>
        <v>46388</v>
      </c>
      <c r="M5" s="24">
        <f>'Assumptions &amp; Budget'!M61</f>
        <v>46419</v>
      </c>
      <c r="N5" s="24">
        <f>'Assumptions &amp; Budget'!N61</f>
        <v>46447</v>
      </c>
      <c r="O5" s="17" t="s">
        <v>311</v>
      </c>
      <c r="P5" s="17" t="s">
        <v>235</v>
      </c>
      <c r="Q5" s="17" t="s">
        <v>312</v>
      </c>
      <c r="R5" s="17" t="s">
        <v>313</v>
      </c>
    </row>
    <row r="6" spans="1:18" x14ac:dyDescent="0.35">
      <c r="A6" s="6" t="s">
        <v>245</v>
      </c>
      <c r="C6" s="25" t="str">
        <f t="shared" ref="C6:N6" si="0">IF(C5&lt;=$C$3,"Actual","Forecast")</f>
        <v>Actual</v>
      </c>
      <c r="D6" s="25" t="str">
        <f t="shared" si="0"/>
        <v>Actual</v>
      </c>
      <c r="E6" s="25" t="str">
        <f t="shared" si="0"/>
        <v>Actual</v>
      </c>
      <c r="F6" s="25" t="str">
        <f t="shared" si="0"/>
        <v>Actual</v>
      </c>
      <c r="G6" s="25" t="str">
        <f t="shared" si="0"/>
        <v>Actual</v>
      </c>
      <c r="H6" s="25" t="str">
        <f t="shared" si="0"/>
        <v>Actual</v>
      </c>
      <c r="I6" s="25" t="str">
        <f t="shared" si="0"/>
        <v>Forecast</v>
      </c>
      <c r="J6" s="25" t="str">
        <f t="shared" si="0"/>
        <v>Forecast</v>
      </c>
      <c r="K6" s="25" t="str">
        <f t="shared" si="0"/>
        <v>Forecast</v>
      </c>
      <c r="L6" s="25" t="str">
        <f t="shared" si="0"/>
        <v>Forecast</v>
      </c>
      <c r="M6" s="25" t="str">
        <f t="shared" si="0"/>
        <v>Forecast</v>
      </c>
      <c r="N6" s="25" t="str">
        <f t="shared" si="0"/>
        <v>Forecast</v>
      </c>
    </row>
    <row r="7" spans="1:18" x14ac:dyDescent="0.35">
      <c r="A7" s="6" t="s">
        <v>314</v>
      </c>
      <c r="C7" s="61">
        <f t="shared" ref="C7:N7" si="1">MAX(0,(YEAR(C5)-YEAR($C$3))*12+MONTH(C5)-MONTH($C$3))</f>
        <v>0</v>
      </c>
      <c r="D7" s="61">
        <f t="shared" si="1"/>
        <v>0</v>
      </c>
      <c r="E7" s="61">
        <f t="shared" si="1"/>
        <v>0</v>
      </c>
      <c r="F7" s="61">
        <f t="shared" si="1"/>
        <v>0</v>
      </c>
      <c r="G7" s="61">
        <f t="shared" si="1"/>
        <v>0</v>
      </c>
      <c r="H7" s="61">
        <f t="shared" si="1"/>
        <v>0</v>
      </c>
      <c r="I7" s="61">
        <f t="shared" si="1"/>
        <v>1</v>
      </c>
      <c r="J7" s="61">
        <f t="shared" si="1"/>
        <v>2</v>
      </c>
      <c r="K7" s="61">
        <f t="shared" si="1"/>
        <v>3</v>
      </c>
      <c r="L7" s="61">
        <f t="shared" si="1"/>
        <v>4</v>
      </c>
      <c r="M7" s="61">
        <f t="shared" si="1"/>
        <v>5</v>
      </c>
      <c r="N7" s="61">
        <f t="shared" si="1"/>
        <v>6</v>
      </c>
    </row>
    <row r="8" spans="1:18" x14ac:dyDescent="0.35">
      <c r="A8" s="7" t="s">
        <v>95</v>
      </c>
      <c r="B8" s="8"/>
      <c r="C8" s="8"/>
      <c r="D8" s="8"/>
      <c r="E8" s="8"/>
      <c r="F8" s="8"/>
      <c r="G8" s="8"/>
      <c r="H8" s="8"/>
      <c r="I8" s="8"/>
      <c r="J8" s="8"/>
      <c r="K8" s="8"/>
      <c r="L8" s="8"/>
      <c r="M8" s="8"/>
      <c r="N8" s="8"/>
      <c r="O8" s="8"/>
      <c r="P8" s="8"/>
      <c r="Q8" s="8"/>
      <c r="R8" s="8"/>
    </row>
    <row r="9" spans="1:18" x14ac:dyDescent="0.35">
      <c r="A9" s="5" t="s">
        <v>98</v>
      </c>
      <c r="B9" s="6" t="s">
        <v>99</v>
      </c>
      <c r="C9" s="29">
        <f>IF(C$5&lt;=$C$3,'Actual vs Budget'!C10,'Assumptions &amp; Budget'!C64*(1+IF('Variance-to-Action Log'!$T$8="Reforecast",'Variance-to-Action Log'!$C$39,0)))</f>
        <v>512605</v>
      </c>
      <c r="D9" s="29">
        <f>IF(D$5&lt;=$C$3,'Actual vs Budget'!D10,'Assumptions &amp; Budget'!D64*(1+IF('Variance-to-Action Log'!$T$8="Reforecast",'Variance-to-Action Log'!$C$39,0)))</f>
        <v>504896</v>
      </c>
      <c r="E9" s="29">
        <f>IF(E$5&lt;=$C$3,'Actual vs Budget'!E10,'Assumptions &amp; Budget'!E64*(1+IF('Variance-to-Action Log'!$T$8="Reforecast",'Variance-to-Action Log'!$C$39,0)))</f>
        <v>502172</v>
      </c>
      <c r="F9" s="29">
        <f>IF(F$5&lt;=$C$3,'Actual vs Budget'!F10,'Assumptions &amp; Budget'!F64*(1+IF('Variance-to-Action Log'!$T$8="Reforecast",'Variance-to-Action Log'!$C$39,0)))</f>
        <v>490655</v>
      </c>
      <c r="G9" s="29">
        <f>IF(G$5&lt;=$C$3,'Actual vs Budget'!G10,'Assumptions &amp; Budget'!G64*(1+IF('Variance-to-Action Log'!$T$8="Reforecast",'Variance-to-Action Log'!$C$39,0)))</f>
        <v>516802</v>
      </c>
      <c r="H9" s="29">
        <f>IF(H$5&lt;=$C$3,'Actual vs Budget'!H10,'Assumptions &amp; Budget'!H64*(1+IF('Variance-to-Action Log'!$T$8="Reforecast",'Variance-to-Action Log'!$C$39,0)))</f>
        <v>545874</v>
      </c>
      <c r="I9" s="29">
        <f>IF(I$5&lt;=$C$3,'Actual vs Budget'!I10,'Assumptions &amp; Budget'!I64*(1+IF('Variance-to-Action Log'!$T$8="Reforecast",'Variance-to-Action Log'!$C$39,0)))</f>
        <v>639817.24700000009</v>
      </c>
      <c r="J9" s="29">
        <f>IF(J$5&lt;=$C$3,'Actual vs Budget'!J10,'Assumptions &amp; Budget'!J64*(1+IF('Variance-to-Action Log'!$T$8="Reforecast",'Variance-to-Action Log'!$C$39,0)))</f>
        <v>613158.19504166662</v>
      </c>
      <c r="K9" s="29">
        <f>IF(K$5&lt;=$C$3,'Actual vs Budget'!K10,'Assumptions &amp; Budget'!K64*(1+IF('Variance-to-Action Log'!$T$8="Reforecast",'Variance-to-Action Log'!$C$39,0)))</f>
        <v>559840.09112500015</v>
      </c>
      <c r="L9" s="29">
        <f>IF(L$5&lt;=$C$3,'Actual vs Budget'!L10,'Assumptions &amp; Budget'!L64*(1+IF('Variance-to-Action Log'!$T$8="Reforecast",'Variance-to-Action Log'!$C$39,0)))</f>
        <v>533181.03916666668</v>
      </c>
      <c r="M9" s="29">
        <f>IF(M$5&lt;=$C$3,'Actual vs Budget'!M10,'Assumptions &amp; Budget'!M64*(1+IF('Variance-to-Action Log'!$T$8="Reforecast",'Variance-to-Action Log'!$C$39,0)))</f>
        <v>506521.98720833333</v>
      </c>
      <c r="N9" s="29">
        <f>IF(N$5&lt;=$C$3,'Actual vs Budget'!N10,'Assumptions &amp; Budget'!N64*(1+IF('Variance-to-Action Log'!$T$8="Reforecast",'Variance-to-Action Log'!$C$39,0)))</f>
        <v>522517.41838333337</v>
      </c>
      <c r="O9" s="29">
        <f>SUM($C9:$N9)</f>
        <v>6448039.9779250007</v>
      </c>
      <c r="P9" s="48">
        <f>'Assumptions &amp; Budget'!O64</f>
        <v>6398172.4700000007</v>
      </c>
      <c r="Q9" s="20">
        <f>O9-P9</f>
        <v>49867.507925000042</v>
      </c>
      <c r="R9" s="30">
        <f>IF(P9=0,0,Q9/P9)</f>
        <v>7.7940237089295025E-3</v>
      </c>
    </row>
    <row r="10" spans="1:18" x14ac:dyDescent="0.35">
      <c r="A10" s="5" t="s">
        <v>100</v>
      </c>
      <c r="B10" s="6" t="s">
        <v>101</v>
      </c>
      <c r="C10" s="9">
        <f>IF(C$5&lt;=$C$3,'Actual vs Budget'!C11,'Assumptions &amp; Budget'!C65*(1+IF('Variance-to-Action Log'!$T$8="Reforecast",'Variance-to-Action Log'!$C$40,0)))</f>
        <v>695.6</v>
      </c>
      <c r="D10" s="9">
        <f>IF(D$5&lt;=$C$3,'Actual vs Budget'!D11,'Assumptions &amp; Budget'!D65*(1+IF('Variance-to-Action Log'!$T$8="Reforecast",'Variance-to-Action Log'!$C$40,0)))</f>
        <v>693.3</v>
      </c>
      <c r="E10" s="9">
        <f>IF(E$5&lt;=$C$3,'Actual vs Budget'!E11,'Assumptions &amp; Budget'!E65*(1+IF('Variance-to-Action Log'!$T$8="Reforecast",'Variance-to-Action Log'!$C$40,0)))</f>
        <v>701.4</v>
      </c>
      <c r="F10" s="9">
        <f>IF(F$5&lt;=$C$3,'Actual vs Budget'!F11,'Assumptions &amp; Budget'!F65*(1+IF('Variance-to-Action Log'!$T$8="Reforecast",'Variance-to-Action Log'!$C$40,0)))</f>
        <v>696</v>
      </c>
      <c r="G10" s="9">
        <f>IF(G$5&lt;=$C$3,'Actual vs Budget'!G11,'Assumptions &amp; Budget'!G65*(1+IF('Variance-to-Action Log'!$T$8="Reforecast",'Variance-to-Action Log'!$C$40,0)))</f>
        <v>695.8</v>
      </c>
      <c r="H10" s="9">
        <f>IF(H$5&lt;=$C$3,'Actual vs Budget'!H11,'Assumptions &amp; Budget'!H65*(1+IF('Variance-to-Action Log'!$T$8="Reforecast",'Variance-to-Action Log'!$C$40,0)))</f>
        <v>700.1</v>
      </c>
      <c r="I10" s="9">
        <f>IF(I$5&lt;=$C$3,'Actual vs Budget'!I11,'Assumptions &amp; Budget'!I65*(1+IF('Variance-to-Action Log'!$T$8="Reforecast",'Variance-to-Action Log'!$C$40,0)))</f>
        <v>709.52277575930657</v>
      </c>
      <c r="J10" s="9">
        <f>IF(J$5&lt;=$C$3,'Actual vs Budget'!J11,'Assumptions &amp; Budget'!J65*(1+IF('Variance-to-Action Log'!$T$8="Reforecast",'Variance-to-Action Log'!$C$40,0)))</f>
        <v>711.65134408658446</v>
      </c>
      <c r="K10" s="9">
        <f>IF(K$5&lt;=$C$3,'Actual vs Budget'!K11,'Assumptions &amp; Budget'!K65*(1+IF('Variance-to-Action Log'!$T$8="Reforecast",'Variance-to-Action Log'!$C$40,0)))</f>
        <v>713.78629811884412</v>
      </c>
      <c r="L10" s="9">
        <f>IF(L$5&lt;=$C$3,'Actual vs Budget'!L11,'Assumptions &amp; Budget'!L65*(1+IF('Variance-to-Action Log'!$T$8="Reforecast",'Variance-to-Action Log'!$C$40,0)))</f>
        <v>715.92765701320059</v>
      </c>
      <c r="M10" s="9">
        <f>IF(M$5&lt;=$C$3,'Actual vs Budget'!M11,'Assumptions &amp; Budget'!M65*(1+IF('Variance-to-Action Log'!$T$8="Reforecast",'Variance-to-Action Log'!$C$40,0)))</f>
        <v>718.07543998424012</v>
      </c>
      <c r="N10" s="9">
        <f>IF(N$5&lt;=$C$3,'Actual vs Budget'!N11,'Assumptions &amp; Budget'!N65*(1+IF('Variance-to-Action Log'!$T$8="Reforecast",'Variance-to-Action Log'!$C$40,0)))</f>
        <v>720.22966630419273</v>
      </c>
      <c r="O10" s="9">
        <f>IF(O9=0,0,O12*100000/O9)</f>
        <v>706.22817723261142</v>
      </c>
      <c r="P10" s="49">
        <f>'Assumptions &amp; Budget'!O65</f>
        <v>708.71315175239874</v>
      </c>
      <c r="Q10" s="20">
        <f>O10-P10</f>
        <v>-2.484974519787329</v>
      </c>
      <c r="R10" s="30">
        <f>IF(P10=0,0,Q10/P10)</f>
        <v>-3.5063191837809973E-3</v>
      </c>
    </row>
    <row r="11" spans="1:18" x14ac:dyDescent="0.35">
      <c r="A11" s="7" t="s">
        <v>102</v>
      </c>
      <c r="B11" s="8"/>
      <c r="C11" s="8"/>
      <c r="D11" s="8"/>
      <c r="E11" s="8"/>
      <c r="F11" s="8"/>
      <c r="G11" s="8"/>
      <c r="H11" s="8"/>
      <c r="I11" s="8"/>
      <c r="J11" s="8"/>
      <c r="K11" s="8"/>
      <c r="L11" s="8"/>
      <c r="M11" s="8"/>
      <c r="N11" s="8"/>
      <c r="O11" s="8"/>
      <c r="P11" s="8"/>
      <c r="Q11" s="8"/>
      <c r="R11" s="8"/>
    </row>
    <row r="12" spans="1:18" x14ac:dyDescent="0.35">
      <c r="A12" s="32" t="s">
        <v>103</v>
      </c>
      <c r="B12" s="33" t="s">
        <v>104</v>
      </c>
      <c r="C12" s="34">
        <f t="shared" ref="C12:N12" si="2">C9*C10/100000</f>
        <v>3565.6803799999998</v>
      </c>
      <c r="D12" s="34">
        <f t="shared" si="2"/>
        <v>3500.4439679999996</v>
      </c>
      <c r="E12" s="34">
        <f t="shared" si="2"/>
        <v>3522.2344080000003</v>
      </c>
      <c r="F12" s="34">
        <f t="shared" si="2"/>
        <v>3414.9587999999999</v>
      </c>
      <c r="G12" s="34">
        <f t="shared" si="2"/>
        <v>3595.9083159999996</v>
      </c>
      <c r="H12" s="34">
        <f t="shared" si="2"/>
        <v>3821.6638740000003</v>
      </c>
      <c r="I12" s="34">
        <f t="shared" si="2"/>
        <v>4539.6490907011794</v>
      </c>
      <c r="J12" s="34">
        <f t="shared" si="2"/>
        <v>4363.5485363910611</v>
      </c>
      <c r="K12" s="34">
        <f t="shared" si="2"/>
        <v>3996.0618618263024</v>
      </c>
      <c r="L12" s="34">
        <f t="shared" si="2"/>
        <v>3817.1905213445521</v>
      </c>
      <c r="M12" s="34">
        <f t="shared" si="2"/>
        <v>3637.209988263156</v>
      </c>
      <c r="N12" s="34">
        <f t="shared" si="2"/>
        <v>3763.3254588035643</v>
      </c>
      <c r="O12" s="34">
        <f>SUM($C12:$N12)</f>
        <v>45537.875203329815</v>
      </c>
      <c r="P12" s="50">
        <f>'Assumptions &amp; Budget'!O67</f>
        <v>45344.689766691306</v>
      </c>
      <c r="Q12" s="57">
        <f>O12-P12</f>
        <v>193.18543663850869</v>
      </c>
      <c r="R12" s="35">
        <f>IF(P12=0,0,Q12/P12)</f>
        <v>4.2603761902990514E-3</v>
      </c>
    </row>
    <row r="13" spans="1:18" x14ac:dyDescent="0.35">
      <c r="A13" s="5" t="s">
        <v>105</v>
      </c>
      <c r="B13" s="6" t="s">
        <v>104</v>
      </c>
      <c r="C13" s="19">
        <f>IF(C$5&lt;=$C$3,'Actual vs Budget'!C14,'Assumptions &amp; Budget'!C68*IF('Assumptions &amp; Budget'!$E$44="Revenue",C12/'Assumptions &amp; Budget'!C67,IF('Assumptions &amp; Budget'!$E$44="Orders",C9/'Assumptions &amp; Budget'!C64,1))*(1+'Variance-to-Action Log'!$V$9)+IF(AND(C$7&gt;=1,C$7&lt;=$F$3),'Variance-to-Action Log'!$W$9/$F$3,0))</f>
        <v>1108.3</v>
      </c>
      <c r="D13" s="19">
        <f>IF(D$5&lt;=$C$3,'Actual vs Budget'!D14,'Assumptions &amp; Budget'!D68*IF('Assumptions &amp; Budget'!$E$44="Revenue",D12/'Assumptions &amp; Budget'!D67,IF('Assumptions &amp; Budget'!$E$44="Orders",D9/'Assumptions &amp; Budget'!D64,1))*(1+'Variance-to-Action Log'!$V$9)+IF(AND(D$7&gt;=1,D$7&lt;=$F$3),'Variance-to-Action Log'!$W$9/$F$3,0))</f>
        <v>1104.5</v>
      </c>
      <c r="E13" s="19">
        <f>IF(E$5&lt;=$C$3,'Actual vs Budget'!E14,'Assumptions &amp; Budget'!E68*IF('Assumptions &amp; Budget'!$E$44="Revenue",E12/'Assumptions &amp; Budget'!E67,IF('Assumptions &amp; Budget'!$E$44="Orders",E9/'Assumptions &amp; Budget'!E64,1))*(1+'Variance-to-Action Log'!$V$9)+IF(AND(E$7&gt;=1,E$7&lt;=$F$3),'Variance-to-Action Log'!$W$9/$F$3,0))</f>
        <v>1098.0999999999999</v>
      </c>
      <c r="F13" s="19">
        <f>IF(F$5&lt;=$C$3,'Actual vs Budget'!F14,'Assumptions &amp; Budget'!F68*IF('Assumptions &amp; Budget'!$E$44="Revenue",F12/'Assumptions &amp; Budget'!F67,IF('Assumptions &amp; Budget'!$E$44="Orders",F9/'Assumptions &amp; Budget'!F64,1))*(1+'Variance-to-Action Log'!$V$9)+IF(AND(F$7&gt;=1,F$7&lt;=$F$3),'Variance-to-Action Log'!$W$9/$F$3,0))</f>
        <v>997.8</v>
      </c>
      <c r="G13" s="19">
        <f>IF(G$5&lt;=$C$3,'Actual vs Budget'!G14,'Assumptions &amp; Budget'!G68*IF('Assumptions &amp; Budget'!$E$44="Revenue",G12/'Assumptions &amp; Budget'!G67,IF('Assumptions &amp; Budget'!$E$44="Orders",G9/'Assumptions &amp; Budget'!G64,1))*(1+'Variance-to-Action Log'!$V$9)+IF(AND(G$7&gt;=1,G$7&lt;=$F$3),'Variance-to-Action Log'!$W$9/$F$3,0))</f>
        <v>1036.4000000000001</v>
      </c>
      <c r="H13" s="19">
        <f>IF(H$5&lt;=$C$3,'Actual vs Budget'!H14,'Assumptions &amp; Budget'!H68*IF('Assumptions &amp; Budget'!$E$44="Revenue",H12/'Assumptions &amp; Budget'!H67,IF('Assumptions &amp; Budget'!$E$44="Orders",H9/'Assumptions &amp; Budget'!H64,1))*(1+'Variance-to-Action Log'!$V$9)+IF(AND(H$7&gt;=1,H$7&lt;=$F$3),'Variance-to-Action Log'!$W$9/$F$3,0))</f>
        <v>1119.8</v>
      </c>
      <c r="I13" s="19">
        <f>IF(I$5&lt;=$C$3,'Actual vs Budget'!I14,'Assumptions &amp; Budget'!I68*IF('Assumptions &amp; Budget'!$E$44="Revenue",I12/'Assumptions &amp; Budget'!I67,IF('Assumptions &amp; Budget'!$E$44="Orders",I9/'Assumptions &amp; Budget'!I64,1))*(1+'Variance-to-Action Log'!$V$9)+IF(AND(I$7&gt;=1,I$7&lt;=$F$3),'Variance-to-Action Log'!$W$9/$F$3,0))</f>
        <v>1321.7643453122048</v>
      </c>
      <c r="J13" s="19">
        <f>IF(J$5&lt;=$C$3,'Actual vs Budget'!J14,'Assumptions &amp; Budget'!J68*IF('Assumptions &amp; Budget'!$E$44="Revenue",J12/'Assumptions &amp; Budget'!J67,IF('Assumptions &amp; Budget'!$E$44="Orders",J9/'Assumptions &amp; Budget'!J64,1))*(1+'Variance-to-Action Log'!$V$9)+IF(AND(J$7&gt;=1,J$7&lt;=$F$3),'Variance-to-Action Log'!$W$9/$F$3,0))</f>
        <v>1270.4909034169684</v>
      </c>
      <c r="K13" s="19">
        <f>IF(K$5&lt;=$C$3,'Actual vs Budget'!K14,'Assumptions &amp; Budget'!K68*IF('Assumptions &amp; Budget'!$E$44="Revenue",K12/'Assumptions &amp; Budget'!K67,IF('Assumptions &amp; Budget'!$E$44="Orders",K9/'Assumptions &amp; Budget'!K64,1))*(1+'Variance-to-Action Log'!$V$9)+IF(AND(K$7&gt;=1,K$7&lt;=$F$3),'Variance-to-Action Log'!$W$9/$F$3,0))</f>
        <v>1163.4934738552877</v>
      </c>
      <c r="L13" s="19">
        <f>IF(L$5&lt;=$C$3,'Actual vs Budget'!L14,'Assumptions &amp; Budget'!L68*IF('Assumptions &amp; Budget'!$E$44="Revenue",L12/'Assumptions &amp; Budget'!L67,IF('Assumptions &amp; Budget'!$E$44="Orders",L9/'Assumptions &amp; Budget'!L64,1))*(1+'Variance-to-Action Log'!$V$9)+IF(AND(L$7&gt;=1,L$7&lt;=$F$3),'Variance-to-Action Log'!$W$9/$F$3,0))</f>
        <v>1111.413289787479</v>
      </c>
      <c r="M13" s="19">
        <f>IF(M$5&lt;=$C$3,'Actual vs Budget'!M14,'Assumptions &amp; Budget'!M68*IF('Assumptions &amp; Budget'!$E$44="Revenue",M12/'Assumptions &amp; Budget'!M67,IF('Assumptions &amp; Budget'!$E$44="Orders",M9/'Assumptions &amp; Budget'!M64,1))*(1+'Variance-to-Action Log'!$V$9)+IF(AND(M$7&gt;=1,M$7&lt;=$F$3),'Variance-to-Action Log'!$W$9/$F$3,0))</f>
        <v>1059.0101531739992</v>
      </c>
      <c r="N13" s="19">
        <f>IF(N$5&lt;=$C$3,'Actual vs Budget'!N14,'Assumptions &amp; Budget'!N68*IF('Assumptions &amp; Budget'!$E$44="Revenue",N12/'Assumptions &amp; Budget'!N67,IF('Assumptions &amp; Budget'!$E$44="Orders",N9/'Assumptions &amp; Budget'!N64,1))*(1+'Variance-to-Action Log'!$V$9)+IF(AND(N$7&gt;=1,N$7&lt;=$F$3),'Variance-to-Action Log'!$W$9/$F$3,0))</f>
        <v>1095.7299368008955</v>
      </c>
      <c r="O13" s="19">
        <f>SUM($C13:$N13)</f>
        <v>13486.802102346834</v>
      </c>
      <c r="P13" s="51">
        <f>'Assumptions &amp; Budget'!O68</f>
        <v>14056.853827674306</v>
      </c>
      <c r="Q13" s="20">
        <f>P13-O13</f>
        <v>570.05172532747201</v>
      </c>
      <c r="R13" s="30">
        <f>IF(P13=0,0,Q13/P13)</f>
        <v>4.0553293952960354E-2</v>
      </c>
    </row>
    <row r="14" spans="1:18" x14ac:dyDescent="0.35">
      <c r="A14" s="32" t="s">
        <v>106</v>
      </c>
      <c r="B14" s="33" t="s">
        <v>104</v>
      </c>
      <c r="C14" s="34">
        <f t="shared" ref="C14:O14" si="3">C12-C13</f>
        <v>2457.3803799999996</v>
      </c>
      <c r="D14" s="34">
        <f t="shared" si="3"/>
        <v>2395.9439679999996</v>
      </c>
      <c r="E14" s="34">
        <f t="shared" si="3"/>
        <v>2424.1344080000003</v>
      </c>
      <c r="F14" s="34">
        <f t="shared" si="3"/>
        <v>2417.1588000000002</v>
      </c>
      <c r="G14" s="34">
        <f t="shared" si="3"/>
        <v>2559.5083159999995</v>
      </c>
      <c r="H14" s="34">
        <f t="shared" si="3"/>
        <v>2701.8638740000006</v>
      </c>
      <c r="I14" s="34">
        <f t="shared" si="3"/>
        <v>3217.8847453889748</v>
      </c>
      <c r="J14" s="34">
        <f t="shared" si="3"/>
        <v>3093.0576329740925</v>
      </c>
      <c r="K14" s="34">
        <f t="shared" si="3"/>
        <v>2832.568387971015</v>
      </c>
      <c r="L14" s="34">
        <f t="shared" si="3"/>
        <v>2705.7772315570728</v>
      </c>
      <c r="M14" s="34">
        <f t="shared" si="3"/>
        <v>2578.1998350891567</v>
      </c>
      <c r="N14" s="34">
        <f t="shared" si="3"/>
        <v>2667.595522002669</v>
      </c>
      <c r="O14" s="34">
        <f t="shared" si="3"/>
        <v>32051.073100982983</v>
      </c>
      <c r="P14" s="50">
        <f>'Assumptions &amp; Budget'!O69</f>
        <v>31287.835939017001</v>
      </c>
      <c r="Q14" s="57">
        <f>O14-P14</f>
        <v>763.23716196598252</v>
      </c>
      <c r="R14" s="35">
        <f>IF(P14=0,0,Q14/P14)</f>
        <v>2.4394054080748989E-2</v>
      </c>
    </row>
    <row r="15" spans="1:18" x14ac:dyDescent="0.35">
      <c r="A15" s="5" t="s">
        <v>107</v>
      </c>
      <c r="B15" s="6" t="s">
        <v>108</v>
      </c>
      <c r="C15" s="37">
        <f t="shared" ref="C15:O15" si="4">IF(C12=0,0,C14/C12)</f>
        <v>0.68917573032723689</v>
      </c>
      <c r="D15" s="37">
        <f t="shared" si="4"/>
        <v>0.68446859595611154</v>
      </c>
      <c r="E15" s="37">
        <f t="shared" si="4"/>
        <v>0.68823767165924532</v>
      </c>
      <c r="F15" s="37">
        <f t="shared" si="4"/>
        <v>0.70781492297945159</v>
      </c>
      <c r="G15" s="37">
        <f t="shared" si="4"/>
        <v>0.71178353035628394</v>
      </c>
      <c r="H15" s="37">
        <f t="shared" si="4"/>
        <v>0.70698626647456975</v>
      </c>
      <c r="I15" s="37">
        <f t="shared" si="4"/>
        <v>0.70883997443334346</v>
      </c>
      <c r="J15" s="37">
        <f t="shared" si="4"/>
        <v>0.70883997443334334</v>
      </c>
      <c r="K15" s="37">
        <f t="shared" si="4"/>
        <v>0.70883997443334346</v>
      </c>
      <c r="L15" s="37">
        <f t="shared" si="4"/>
        <v>0.70883997443334334</v>
      </c>
      <c r="M15" s="37">
        <f t="shared" si="4"/>
        <v>0.70883997443334346</v>
      </c>
      <c r="N15" s="37">
        <f t="shared" si="4"/>
        <v>0.70883997443334346</v>
      </c>
      <c r="O15" s="37">
        <f t="shared" si="4"/>
        <v>0.70383330267107735</v>
      </c>
      <c r="P15" s="10">
        <f>'Assumptions &amp; Budget'!O70</f>
        <v>0.69</v>
      </c>
      <c r="Q15" s="30">
        <f>O15-P15</f>
        <v>1.3833302671077408E-2</v>
      </c>
    </row>
    <row r="16" spans="1:18" x14ac:dyDescent="0.35">
      <c r="A16" s="7" t="s">
        <v>109</v>
      </c>
      <c r="B16" s="8"/>
      <c r="C16" s="8"/>
      <c r="D16" s="8"/>
      <c r="E16" s="8"/>
      <c r="F16" s="8"/>
      <c r="G16" s="8"/>
      <c r="H16" s="8"/>
      <c r="I16" s="8"/>
      <c r="J16" s="8"/>
      <c r="K16" s="8"/>
      <c r="L16" s="8"/>
      <c r="M16" s="8"/>
      <c r="N16" s="8"/>
      <c r="O16" s="8"/>
      <c r="P16" s="8"/>
      <c r="Q16" s="8"/>
      <c r="R16" s="8"/>
    </row>
    <row r="17" spans="1:18" x14ac:dyDescent="0.35">
      <c r="A17" s="5" t="s">
        <v>110</v>
      </c>
      <c r="B17" s="6" t="s">
        <v>104</v>
      </c>
      <c r="C17" s="19">
        <f>IF(C$5&lt;=$C$3,'Actual vs Budget'!C18,'Assumptions &amp; Budget'!C72*IF('Assumptions &amp; Budget'!$E$45="Revenue",C12/'Assumptions &amp; Budget'!C67,IF('Assumptions &amp; Budget'!$E$45="Orders",C9/'Assumptions &amp; Budget'!C64,1))*(1+'Variance-to-Action Log'!$V$10)+IF(AND(C$7&gt;=1,C$7&lt;=$F$3),'Variance-to-Action Log'!$W$10/$F$3,0))</f>
        <v>76.7</v>
      </c>
      <c r="D17" s="19">
        <f>IF(D$5&lt;=$C$3,'Actual vs Budget'!D18,'Assumptions &amp; Budget'!D72*IF('Assumptions &amp; Budget'!$E$45="Revenue",D12/'Assumptions &amp; Budget'!D67,IF('Assumptions &amp; Budget'!$E$45="Orders",D9/'Assumptions &amp; Budget'!D64,1))*(1+'Variance-to-Action Log'!$V$10)+IF(AND(D$7&gt;=1,D$7&lt;=$F$3),'Variance-to-Action Log'!$W$10/$F$3,0))</f>
        <v>77</v>
      </c>
      <c r="E17" s="19">
        <f>IF(E$5&lt;=$C$3,'Actual vs Budget'!E18,'Assumptions &amp; Budget'!E72*IF('Assumptions &amp; Budget'!$E$45="Revenue",E12/'Assumptions &amp; Budget'!E67,IF('Assumptions &amp; Budget'!$E$45="Orders",E9/'Assumptions &amp; Budget'!E64,1))*(1+'Variance-to-Action Log'!$V$10)+IF(AND(E$7&gt;=1,E$7&lt;=$F$3),'Variance-to-Action Log'!$W$10/$F$3,0))</f>
        <v>77.099999999999994</v>
      </c>
      <c r="F17" s="19">
        <f>IF(F$5&lt;=$C$3,'Actual vs Budget'!F18,'Assumptions &amp; Budget'!F72*IF('Assumptions &amp; Budget'!$E$45="Revenue",F12/'Assumptions &amp; Budget'!F67,IF('Assumptions &amp; Budget'!$E$45="Orders",F9/'Assumptions &amp; Budget'!F64,1))*(1+'Variance-to-Action Log'!$V$10)+IF(AND(F$7&gt;=1,F$7&lt;=$F$3),'Variance-to-Action Log'!$W$10/$F$3,0))</f>
        <v>77.5</v>
      </c>
      <c r="G17" s="19">
        <f>IF(G$5&lt;=$C$3,'Actual vs Budget'!G18,'Assumptions &amp; Budget'!G72*IF('Assumptions &amp; Budget'!$E$45="Revenue",G12/'Assumptions &amp; Budget'!G67,IF('Assumptions &amp; Budget'!$E$45="Orders",G9/'Assumptions &amp; Budget'!G64,1))*(1+'Variance-to-Action Log'!$V$10)+IF(AND(G$7&gt;=1,G$7&lt;=$F$3),'Variance-to-Action Log'!$W$10/$F$3,0))</f>
        <v>77.5</v>
      </c>
      <c r="H17" s="19">
        <f>IF(H$5&lt;=$C$3,'Actual vs Budget'!H18,'Assumptions &amp; Budget'!H72*IF('Assumptions &amp; Budget'!$E$45="Revenue",H12/'Assumptions &amp; Budget'!H67,IF('Assumptions &amp; Budget'!$E$45="Orders",H9/'Assumptions &amp; Budget'!H64,1))*(1+'Variance-to-Action Log'!$V$10)+IF(AND(H$7&gt;=1,H$7&lt;=$F$3),'Variance-to-Action Log'!$W$10/$F$3,0))</f>
        <v>80</v>
      </c>
      <c r="I17" s="19">
        <f>IF(I$5&lt;=$C$3,'Actual vs Budget'!I18,'Assumptions &amp; Budget'!I72*IF('Assumptions &amp; Budget'!$E$45="Revenue",I12/'Assumptions &amp; Budget'!I67,IF('Assumptions &amp; Budget'!$E$45="Orders",I9/'Assumptions &amp; Budget'!I64,1))*(1+'Variance-to-Action Log'!$V$10)+IF(AND(I$7&gt;=1,I$7&lt;=$F$3),'Variance-to-Action Log'!$W$10/$F$3,0))</f>
        <v>80.054945054945051</v>
      </c>
      <c r="J17" s="19">
        <f>IF(J$5&lt;=$C$3,'Actual vs Budget'!J18,'Assumptions &amp; Budget'!J72*IF('Assumptions &amp; Budget'!$E$45="Revenue",J12/'Assumptions &amp; Budget'!J67,IF('Assumptions &amp; Budget'!$E$45="Orders",J9/'Assumptions &amp; Budget'!J64,1))*(1+'Variance-to-Action Log'!$V$10)+IF(AND(J$7&gt;=1,J$7&lt;=$F$3),'Variance-to-Action Log'!$W$10/$F$3,0))</f>
        <v>80.054945054945051</v>
      </c>
      <c r="K17" s="19">
        <f>IF(K$5&lt;=$C$3,'Actual vs Budget'!K18,'Assumptions &amp; Budget'!K72*IF('Assumptions &amp; Budget'!$E$45="Revenue",K12/'Assumptions &amp; Budget'!K67,IF('Assumptions &amp; Budget'!$E$45="Orders",K9/'Assumptions &amp; Budget'!K64,1))*(1+'Variance-to-Action Log'!$V$10)+IF(AND(K$7&gt;=1,K$7&lt;=$F$3),'Variance-to-Action Log'!$W$10/$F$3,0))</f>
        <v>80.054945054945051</v>
      </c>
      <c r="L17" s="19">
        <f>IF(L$5&lt;=$C$3,'Actual vs Budget'!L18,'Assumptions &amp; Budget'!L72*IF('Assumptions &amp; Budget'!$E$45="Revenue",L12/'Assumptions &amp; Budget'!L67,IF('Assumptions &amp; Budget'!$E$45="Orders",L9/'Assumptions &amp; Budget'!L64,1))*(1+'Variance-to-Action Log'!$V$10)+IF(AND(L$7&gt;=1,L$7&lt;=$F$3),'Variance-to-Action Log'!$W$10/$F$3,0))</f>
        <v>81.346153846153825</v>
      </c>
      <c r="M17" s="19">
        <f>IF(M$5&lt;=$C$3,'Actual vs Budget'!M18,'Assumptions &amp; Budget'!M72*IF('Assumptions &amp; Budget'!$E$45="Revenue",M12/'Assumptions &amp; Budget'!M67,IF('Assumptions &amp; Budget'!$E$45="Orders",M9/'Assumptions &amp; Budget'!M64,1))*(1+'Variance-to-Action Log'!$V$10)+IF(AND(M$7&gt;=1,M$7&lt;=$F$3),'Variance-to-Action Log'!$W$10/$F$3,0))</f>
        <v>81.346153846153825</v>
      </c>
      <c r="N17" s="19">
        <f>IF(N$5&lt;=$C$3,'Actual vs Budget'!N18,'Assumptions &amp; Budget'!N72*IF('Assumptions &amp; Budget'!$E$45="Revenue",N12/'Assumptions &amp; Budget'!N67,IF('Assumptions &amp; Budget'!$E$45="Orders",N9/'Assumptions &amp; Budget'!N64,1))*(1+'Variance-to-Action Log'!$V$10)+IF(AND(N$7&gt;=1,N$7&lt;=$F$3),'Variance-to-Action Log'!$W$10/$F$3,0))</f>
        <v>81.346153846153825</v>
      </c>
      <c r="O17" s="19">
        <f>SUM($C17:$N17)</f>
        <v>950.00329670329654</v>
      </c>
      <c r="P17" s="51">
        <f>'Assumptions &amp; Budget'!O72</f>
        <v>874.6666592178774</v>
      </c>
      <c r="Q17" s="20">
        <f t="shared" ref="Q17:Q36" si="5">P17-O17</f>
        <v>-75.336637485419146</v>
      </c>
      <c r="R17" s="30">
        <f t="shared" ref="R17:R36" si="6">IF(P17=0,0,Q17/P17)</f>
        <v>-8.6131827126902025E-2</v>
      </c>
    </row>
    <row r="18" spans="1:18" x14ac:dyDescent="0.35">
      <c r="A18" s="5" t="s">
        <v>111</v>
      </c>
      <c r="B18" s="6" t="s">
        <v>104</v>
      </c>
      <c r="C18" s="19">
        <f>IF(C$5&lt;=$C$3,'Actual vs Budget'!C19,'Assumptions &amp; Budget'!C73*IF('Assumptions &amp; Budget'!$E$46="Revenue",C12/'Assumptions &amp; Budget'!C67,IF('Assumptions &amp; Budget'!$E$46="Orders",C9/'Assumptions &amp; Budget'!C64,1))*(1+'Variance-to-Action Log'!$V$11)+IF(AND(C$7&gt;=1,C$7&lt;=$F$3),'Variance-to-Action Log'!$W$11/$F$3,0))</f>
        <v>105.7</v>
      </c>
      <c r="D18" s="19">
        <f>IF(D$5&lt;=$C$3,'Actual vs Budget'!D19,'Assumptions &amp; Budget'!D73*IF('Assumptions &amp; Budget'!$E$46="Revenue",D12/'Assumptions &amp; Budget'!D67,IF('Assumptions &amp; Budget'!$E$46="Orders",D9/'Assumptions &amp; Budget'!D64,1))*(1+'Variance-to-Action Log'!$V$11)+IF(AND(D$7&gt;=1,D$7&lt;=$F$3),'Variance-to-Action Log'!$W$11/$F$3,0))</f>
        <v>101.5</v>
      </c>
      <c r="E18" s="19">
        <f>IF(E$5&lt;=$C$3,'Actual vs Budget'!E19,'Assumptions &amp; Budget'!E73*IF('Assumptions &amp; Budget'!$E$46="Revenue",E12/'Assumptions &amp; Budget'!E67,IF('Assumptions &amp; Budget'!$E$46="Orders",E9/'Assumptions &amp; Budget'!E64,1))*(1+'Variance-to-Action Log'!$V$11)+IF(AND(E$7&gt;=1,E$7&lt;=$F$3),'Variance-to-Action Log'!$W$11/$F$3,0))</f>
        <v>106</v>
      </c>
      <c r="F18" s="19">
        <f>IF(F$5&lt;=$C$3,'Actual vs Budget'!F19,'Assumptions &amp; Budget'!F73*IF('Assumptions &amp; Budget'!$E$46="Revenue",F12/'Assumptions &amp; Budget'!F67,IF('Assumptions &amp; Budget'!$E$46="Orders",F9/'Assumptions &amp; Budget'!F64,1))*(1+'Variance-to-Action Log'!$V$11)+IF(AND(F$7&gt;=1,F$7&lt;=$F$3),'Variance-to-Action Log'!$W$11/$F$3,0))</f>
        <v>120</v>
      </c>
      <c r="G18" s="19">
        <f>IF(G$5&lt;=$C$3,'Actual vs Budget'!G19,'Assumptions &amp; Budget'!G73*IF('Assumptions &amp; Budget'!$E$46="Revenue",G12/'Assumptions &amp; Budget'!G67,IF('Assumptions &amp; Budget'!$E$46="Orders",G9/'Assumptions &amp; Budget'!G64,1))*(1+'Variance-to-Action Log'!$V$11)+IF(AND(G$7&gt;=1,G$7&lt;=$F$3),'Variance-to-Action Log'!$W$11/$F$3,0))</f>
        <v>121.3</v>
      </c>
      <c r="H18" s="19">
        <f>IF(H$5&lt;=$C$3,'Actual vs Budget'!H19,'Assumptions &amp; Budget'!H73*IF('Assumptions &amp; Budget'!$E$46="Revenue",H12/'Assumptions &amp; Budget'!H67,IF('Assumptions &amp; Budget'!$E$46="Orders",H9/'Assumptions &amp; Budget'!H64,1))*(1+'Variance-to-Action Log'!$V$11)+IF(AND(H$7&gt;=1,H$7&lt;=$F$3),'Variance-to-Action Log'!$W$11/$F$3,0))</f>
        <v>129.9</v>
      </c>
      <c r="I18" s="19">
        <f>IF(I$5&lt;=$C$3,'Actual vs Budget'!I19,'Assumptions &amp; Budget'!I73*IF('Assumptions &amp; Budget'!$E$46="Revenue",I12/'Assumptions &amp; Budget'!I67,IF('Assumptions &amp; Budget'!$E$46="Orders",I9/'Assumptions &amp; Budget'!I64,1))*(1+'Variance-to-Action Log'!$V$11)+IF(AND(I$7&gt;=1,I$7&lt;=$F$3),'Variance-to-Action Log'!$W$11/$F$3,0))</f>
        <v>155.56085129356069</v>
      </c>
      <c r="J18" s="19">
        <f>IF(J$5&lt;=$C$3,'Actual vs Budget'!J19,'Assumptions &amp; Budget'!J73*IF('Assumptions &amp; Budget'!$E$46="Revenue",J12/'Assumptions &amp; Budget'!J67,IF('Assumptions &amp; Budget'!$E$46="Orders",J9/'Assumptions &amp; Budget'!J64,1))*(1+'Variance-to-Action Log'!$V$11)+IF(AND(J$7&gt;=1,J$7&lt;=$F$3),'Variance-to-Action Log'!$W$11/$F$3,0))</f>
        <v>149.52638660379793</v>
      </c>
      <c r="K18" s="19">
        <f>IF(K$5&lt;=$C$3,'Actual vs Budget'!K19,'Assumptions &amp; Budget'!K73*IF('Assumptions &amp; Budget'!$E$46="Revenue",K12/'Assumptions &amp; Budget'!K67,IF('Assumptions &amp; Budget'!$E$46="Orders",K9/'Assumptions &amp; Budget'!K64,1))*(1+'Variance-to-Action Log'!$V$11)+IF(AND(K$7&gt;=1,K$7&lt;=$F$3),'Variance-to-Action Log'!$W$11/$F$3,0))</f>
        <v>136.93366439286072</v>
      </c>
      <c r="L18" s="19">
        <f>IF(L$5&lt;=$C$3,'Actual vs Budget'!L19,'Assumptions &amp; Budget'!L73*IF('Assumptions &amp; Budget'!$E$46="Revenue",L12/'Assumptions &amp; Budget'!L67,IF('Assumptions &amp; Budget'!$E$46="Orders",L9/'Assumptions &amp; Budget'!L64,1))*(1+'Variance-to-Action Log'!$V$11)+IF(AND(L$7&gt;=1,L$7&lt;=$F$3),'Variance-to-Action Log'!$W$11/$F$3,0))</f>
        <v>130.8042527486088</v>
      </c>
      <c r="M18" s="19">
        <f>IF(M$5&lt;=$C$3,'Actual vs Budget'!M19,'Assumptions &amp; Budget'!M73*IF('Assumptions &amp; Budget'!$E$46="Revenue",M12/'Assumptions &amp; Budget'!M67,IF('Assumptions &amp; Budget'!$E$46="Orders",M9/'Assumptions &amp; Budget'!M64,1))*(1+'Variance-to-Action Log'!$V$11)+IF(AND(M$7&gt;=1,M$7&lt;=$F$3),'Variance-to-Action Log'!$W$11/$F$3,0))</f>
        <v>124.6368322315119</v>
      </c>
      <c r="N18" s="19">
        <f>IF(N$5&lt;=$C$3,'Actual vs Budget'!N19,'Assumptions &amp; Budget'!N73*IF('Assumptions &amp; Budget'!$E$46="Revenue",N12/'Assumptions &amp; Budget'!N67,IF('Assumptions &amp; Budget'!$E$46="Orders",N9/'Assumptions &amp; Budget'!N64,1))*(1+'Variance-to-Action Log'!$V$11)+IF(AND(N$7&gt;=1,N$7&lt;=$F$3),'Variance-to-Action Log'!$W$11/$F$3,0))</f>
        <v>128.95845039330766</v>
      </c>
      <c r="O18" s="19">
        <f>SUM($C18:$N18)</f>
        <v>1510.8204376636479</v>
      </c>
      <c r="P18" s="51">
        <f>'Assumptions &amp; Budget'!O73</f>
        <v>1360.3406930007388</v>
      </c>
      <c r="Q18" s="20">
        <f t="shared" si="5"/>
        <v>-150.47974466290907</v>
      </c>
      <c r="R18" s="30">
        <f t="shared" si="6"/>
        <v>-0.11061915991865968</v>
      </c>
    </row>
    <row r="19" spans="1:18" x14ac:dyDescent="0.35">
      <c r="A19" s="32" t="s">
        <v>112</v>
      </c>
      <c r="B19" s="33" t="s">
        <v>104</v>
      </c>
      <c r="C19" s="34">
        <f t="shared" ref="C19:O19" si="7">C17+C18</f>
        <v>182.4</v>
      </c>
      <c r="D19" s="34">
        <f t="shared" si="7"/>
        <v>178.5</v>
      </c>
      <c r="E19" s="34">
        <f t="shared" si="7"/>
        <v>183.1</v>
      </c>
      <c r="F19" s="34">
        <f t="shared" si="7"/>
        <v>197.5</v>
      </c>
      <c r="G19" s="34">
        <f t="shared" si="7"/>
        <v>198.8</v>
      </c>
      <c r="H19" s="34">
        <f t="shared" si="7"/>
        <v>209.9</v>
      </c>
      <c r="I19" s="34">
        <f t="shared" si="7"/>
        <v>235.61579634850574</v>
      </c>
      <c r="J19" s="34">
        <f t="shared" si="7"/>
        <v>229.58133165874298</v>
      </c>
      <c r="K19" s="34">
        <f t="shared" si="7"/>
        <v>216.98860944780577</v>
      </c>
      <c r="L19" s="34">
        <f t="shared" si="7"/>
        <v>212.15040659476261</v>
      </c>
      <c r="M19" s="34">
        <f t="shared" si="7"/>
        <v>205.98298607766571</v>
      </c>
      <c r="N19" s="34">
        <f t="shared" si="7"/>
        <v>210.30460423946147</v>
      </c>
      <c r="O19" s="34">
        <f t="shared" si="7"/>
        <v>2460.8237343669443</v>
      </c>
      <c r="P19" s="50">
        <f>'Assumptions &amp; Budget'!O74</f>
        <v>2235.0073522186162</v>
      </c>
      <c r="Q19" s="57">
        <f t="shared" si="5"/>
        <v>-225.8163821483281</v>
      </c>
      <c r="R19" s="35">
        <f t="shared" si="6"/>
        <v>-0.10103608022773071</v>
      </c>
    </row>
    <row r="20" spans="1:18" x14ac:dyDescent="0.35">
      <c r="A20" s="5" t="s">
        <v>113</v>
      </c>
      <c r="B20" s="6" t="s">
        <v>104</v>
      </c>
      <c r="C20" s="19">
        <f>IF(C$5&lt;=$C$3,'Actual vs Budget'!C21,'Assumptions &amp; Budget'!C75*IF('Assumptions &amp; Budget'!$E$47="Revenue",C12/'Assumptions &amp; Budget'!C67,IF('Assumptions &amp; Budget'!$E$47="Orders",C9/'Assumptions &amp; Budget'!C64,1))*(1+'Variance-to-Action Log'!$V$12)+IF(AND(C$7&gt;=1,C$7&lt;=$F$3),'Variance-to-Action Log'!$W$12/$F$3,0))</f>
        <v>100.1</v>
      </c>
      <c r="D20" s="19">
        <f>IF(D$5&lt;=$C$3,'Actual vs Budget'!D21,'Assumptions &amp; Budget'!D75*IF('Assumptions &amp; Budget'!$E$47="Revenue",D12/'Assumptions &amp; Budget'!D67,IF('Assumptions &amp; Budget'!$E$47="Orders",D9/'Assumptions &amp; Budget'!D64,1))*(1+'Variance-to-Action Log'!$V$12)+IF(AND(D$7&gt;=1,D$7&lt;=$F$3),'Variance-to-Action Log'!$W$12/$F$3,0))</f>
        <v>101.2</v>
      </c>
      <c r="E20" s="19">
        <f>IF(E$5&lt;=$C$3,'Actual vs Budget'!E21,'Assumptions &amp; Budget'!E75*IF('Assumptions &amp; Budget'!$E$47="Revenue",E12/'Assumptions &amp; Budget'!E67,IF('Assumptions &amp; Budget'!$E$47="Orders",E9/'Assumptions &amp; Budget'!E64,1))*(1+'Variance-to-Action Log'!$V$12)+IF(AND(E$7&gt;=1,E$7&lt;=$F$3),'Variance-to-Action Log'!$W$12/$F$3,0))</f>
        <v>101</v>
      </c>
      <c r="F20" s="19">
        <f>IF(F$5&lt;=$C$3,'Actual vs Budget'!F21,'Assumptions &amp; Budget'!F75*IF('Assumptions &amp; Budget'!$E$47="Revenue",F12/'Assumptions &amp; Budget'!F67,IF('Assumptions &amp; Budget'!$E$47="Orders",F9/'Assumptions &amp; Budget'!F64,1))*(1+'Variance-to-Action Log'!$V$12)+IF(AND(F$7&gt;=1,F$7&lt;=$F$3),'Variance-to-Action Log'!$W$12/$F$3,0))</f>
        <v>100.4</v>
      </c>
      <c r="G20" s="19">
        <f>IF(G$5&lt;=$C$3,'Actual vs Budget'!G21,'Assumptions &amp; Budget'!G75*IF('Assumptions &amp; Budget'!$E$47="Revenue",G12/'Assumptions &amp; Budget'!G67,IF('Assumptions &amp; Budget'!$E$47="Orders",G9/'Assumptions &amp; Budget'!G64,1))*(1+'Variance-to-Action Log'!$V$12)+IF(AND(G$7&gt;=1,G$7&lt;=$F$3),'Variance-to-Action Log'!$W$12/$F$3,0))</f>
        <v>100.6</v>
      </c>
      <c r="H20" s="19">
        <f>IF(H$5&lt;=$C$3,'Actual vs Budget'!H21,'Assumptions &amp; Budget'!H75*IF('Assumptions &amp; Budget'!$E$47="Revenue",H12/'Assumptions &amp; Budget'!H67,IF('Assumptions &amp; Budget'!$E$47="Orders",H9/'Assumptions &amp; Budget'!H64,1))*(1+'Variance-to-Action Log'!$V$12)+IF(AND(H$7&gt;=1,H$7&lt;=$F$3),'Variance-to-Action Log'!$W$12/$F$3,0))</f>
        <v>101.4</v>
      </c>
      <c r="I20" s="19">
        <f>IF(I$5&lt;=$C$3,'Actual vs Budget'!I21,'Assumptions &amp; Budget'!I75*IF('Assumptions &amp; Budget'!$E$47="Revenue",I12/'Assumptions &amp; Budget'!I67,IF('Assumptions &amp; Budget'!$E$47="Orders",I9/'Assumptions &amp; Budget'!I64,1))*(1+'Variance-to-Action Log'!$V$12)+IF(AND(I$7&gt;=1,I$7&lt;=$F$3),'Variance-to-Action Log'!$W$12/$F$3,0))</f>
        <v>100.93288590604027</v>
      </c>
      <c r="J20" s="19">
        <f>IF(J$5&lt;=$C$3,'Actual vs Budget'!J21,'Assumptions &amp; Budget'!J75*IF('Assumptions &amp; Budget'!$E$47="Revenue",J12/'Assumptions &amp; Budget'!J67,IF('Assumptions &amp; Budget'!$E$47="Orders",J9/'Assumptions &amp; Budget'!J64,1))*(1+'Variance-to-Action Log'!$V$12)+IF(AND(J$7&gt;=1,J$7&lt;=$F$3),'Variance-to-Action Log'!$W$12/$F$3,0))</f>
        <v>100.93288590604027</v>
      </c>
      <c r="K20" s="19">
        <f>IF(K$5&lt;=$C$3,'Actual vs Budget'!K21,'Assumptions &amp; Budget'!K75*IF('Assumptions &amp; Budget'!$E$47="Revenue",K12/'Assumptions &amp; Budget'!K67,IF('Assumptions &amp; Budget'!$E$47="Orders",K9/'Assumptions &amp; Budget'!K64,1))*(1+'Variance-to-Action Log'!$V$12)+IF(AND(K$7&gt;=1,K$7&lt;=$F$3),'Variance-to-Action Log'!$W$12/$F$3,0))</f>
        <v>103.62442953020134</v>
      </c>
      <c r="L20" s="19">
        <f>IF(L$5&lt;=$C$3,'Actual vs Budget'!L21,'Assumptions &amp; Budget'!L75*IF('Assumptions &amp; Budget'!$E$47="Revenue",L12/'Assumptions &amp; Budget'!L67,IF('Assumptions &amp; Budget'!$E$47="Orders",L9/'Assumptions &amp; Budget'!L64,1))*(1+'Variance-to-Action Log'!$V$12)+IF(AND(L$7&gt;=1,L$7&lt;=$F$3),'Variance-to-Action Log'!$W$12/$F$3,0))</f>
        <v>103.62442953020134</v>
      </c>
      <c r="M20" s="19">
        <f>IF(M$5&lt;=$C$3,'Actual vs Budget'!M21,'Assumptions &amp; Budget'!M75*IF('Assumptions &amp; Budget'!$E$47="Revenue",M12/'Assumptions &amp; Budget'!M67,IF('Assumptions &amp; Budget'!$E$47="Orders",M9/'Assumptions &amp; Budget'!M64,1))*(1+'Variance-to-Action Log'!$V$12)+IF(AND(M$7&gt;=1,M$7&lt;=$F$3),'Variance-to-Action Log'!$W$12/$F$3,0))</f>
        <v>103.62442953020134</v>
      </c>
      <c r="N20" s="19">
        <f>IF(N$5&lt;=$C$3,'Actual vs Budget'!N21,'Assumptions &amp; Budget'!N75*IF('Assumptions &amp; Budget'!$E$47="Revenue",N12/'Assumptions &amp; Budget'!N67,IF('Assumptions &amp; Budget'!$E$47="Orders",N9/'Assumptions &amp; Budget'!N64,1))*(1+'Variance-to-Action Log'!$V$12)+IF(AND(N$7&gt;=1,N$7&lt;=$F$3),'Variance-to-Action Log'!$W$12/$F$3,0))</f>
        <v>103.62442953020134</v>
      </c>
      <c r="O20" s="19">
        <f>SUM($C20:$N20)</f>
        <v>1221.0634899328859</v>
      </c>
      <c r="P20" s="51">
        <f>'Assumptions &amp; Budget'!O75</f>
        <v>1221.9608053691275</v>
      </c>
      <c r="Q20" s="20">
        <f t="shared" si="5"/>
        <v>0.89731543624156984</v>
      </c>
      <c r="R20" s="30">
        <f t="shared" si="6"/>
        <v>7.343242371595631E-4</v>
      </c>
    </row>
    <row r="21" spans="1:18" x14ac:dyDescent="0.35">
      <c r="A21" s="5" t="s">
        <v>114</v>
      </c>
      <c r="B21" s="6" t="s">
        <v>104</v>
      </c>
      <c r="C21" s="19">
        <f>IF(C$5&lt;=$C$3,'Actual vs Budget'!C22,'Assumptions &amp; Budget'!C76*IF('Assumptions &amp; Budget'!$E$48="Revenue",C12/'Assumptions &amp; Budget'!C67,IF('Assumptions &amp; Budget'!$E$48="Orders",C9/'Assumptions &amp; Budget'!C64,1))*(1+'Variance-to-Action Log'!$V$13)+IF(AND(C$7&gt;=1,C$7&lt;=$F$3),'Variance-to-Action Log'!$W$13/$F$3,0))</f>
        <v>270.39999999999998</v>
      </c>
      <c r="D21" s="19">
        <f>IF(D$5&lt;=$C$3,'Actual vs Budget'!D22,'Assumptions &amp; Budget'!D76*IF('Assumptions &amp; Budget'!$E$48="Revenue",D12/'Assumptions &amp; Budget'!D67,IF('Assumptions &amp; Budget'!$E$48="Orders",D9/'Assumptions &amp; Budget'!D64,1))*(1+'Variance-to-Action Log'!$V$13)+IF(AND(D$7&gt;=1,D$7&lt;=$F$3),'Variance-to-Action Log'!$W$13/$F$3,0))</f>
        <v>266.5</v>
      </c>
      <c r="E21" s="19">
        <f>IF(E$5&lt;=$C$3,'Actual vs Budget'!E22,'Assumptions &amp; Budget'!E76*IF('Assumptions &amp; Budget'!$E$48="Revenue",E12/'Assumptions &amp; Budget'!E67,IF('Assumptions &amp; Budget'!$E$48="Orders",E9/'Assumptions &amp; Budget'!E64,1))*(1+'Variance-to-Action Log'!$V$13)+IF(AND(E$7&gt;=1,E$7&lt;=$F$3),'Variance-to-Action Log'!$W$13/$F$3,0))</f>
        <v>282.5</v>
      </c>
      <c r="F21" s="19">
        <f>IF(F$5&lt;=$C$3,'Actual vs Budget'!F22,'Assumptions &amp; Budget'!F76*IF('Assumptions &amp; Budget'!$E$48="Revenue",F12/'Assumptions &amp; Budget'!F67,IF('Assumptions &amp; Budget'!$E$48="Orders",F9/'Assumptions &amp; Budget'!F64,1))*(1+'Variance-to-Action Log'!$V$13)+IF(AND(F$7&gt;=1,F$7&lt;=$F$3),'Variance-to-Action Log'!$W$13/$F$3,0))</f>
        <v>279.7</v>
      </c>
      <c r="G21" s="19">
        <f>IF(G$5&lt;=$C$3,'Actual vs Budget'!G22,'Assumptions &amp; Budget'!G76*IF('Assumptions &amp; Budget'!$E$48="Revenue",G12/'Assumptions &amp; Budget'!G67,IF('Assumptions &amp; Budget'!$E$48="Orders",G9/'Assumptions &amp; Budget'!G64,1))*(1+'Variance-to-Action Log'!$V$13)+IF(AND(G$7&gt;=1,G$7&lt;=$F$3),'Variance-to-Action Log'!$W$13/$F$3,0))</f>
        <v>293.39999999999998</v>
      </c>
      <c r="H21" s="19">
        <f>IF(H$5&lt;=$C$3,'Actual vs Budget'!H22,'Assumptions &amp; Budget'!H76*IF('Assumptions &amp; Budget'!$E$48="Revenue",H12/'Assumptions &amp; Budget'!H67,IF('Assumptions &amp; Budget'!$E$48="Orders",H9/'Assumptions &amp; Budget'!H64,1))*(1+'Variance-to-Action Log'!$V$13)+IF(AND(H$7&gt;=1,H$7&lt;=$F$3),'Variance-to-Action Log'!$W$13/$F$3,0))</f>
        <v>306.89999999999998</v>
      </c>
      <c r="I21" s="19">
        <f>IF(I$5&lt;=$C$3,'Actual vs Budget'!I22,'Assumptions &amp; Budget'!I76*IF('Assumptions &amp; Budget'!$E$48="Revenue",I12/'Assumptions &amp; Budget'!I67,IF('Assumptions &amp; Budget'!$E$48="Orders",I9/'Assumptions &amp; Budget'!I64,1))*(1+'Variance-to-Action Log'!$V$13)+IF(AND(I$7&gt;=1,I$7&lt;=$F$3),'Variance-to-Action Log'!$W$13/$F$3,0))</f>
        <v>362.47211789373932</v>
      </c>
      <c r="J21" s="19">
        <f>IF(J$5&lt;=$C$3,'Actual vs Budget'!J22,'Assumptions &amp; Budget'!J76*IF('Assumptions &amp; Budget'!$E$48="Revenue",J12/'Assumptions &amp; Budget'!J67,IF('Assumptions &amp; Budget'!$E$48="Orders",J9/'Assumptions &amp; Budget'!J64,1))*(1+'Variance-to-Action Log'!$V$13)+IF(AND(J$7&gt;=1,J$7&lt;=$F$3),'Variance-to-Action Log'!$W$13/$F$3,0))</f>
        <v>347.36911298150017</v>
      </c>
      <c r="K21" s="19">
        <f>IF(K$5&lt;=$C$3,'Actual vs Budget'!K22,'Assumptions &amp; Budget'!K76*IF('Assumptions &amp; Budget'!$E$48="Revenue",K12/'Assumptions &amp; Budget'!K67,IF('Assumptions &amp; Budget'!$E$48="Orders",K9/'Assumptions &amp; Budget'!K64,1))*(1+'Variance-to-Action Log'!$V$13)+IF(AND(K$7&gt;=1,K$7&lt;=$F$3),'Variance-to-Action Log'!$W$13/$F$3,0))</f>
        <v>317.16310315702196</v>
      </c>
      <c r="L21" s="19">
        <f>IF(L$5&lt;=$C$3,'Actual vs Budget'!L22,'Assumptions &amp; Budget'!L76*IF('Assumptions &amp; Budget'!$E$48="Revenue",L12/'Assumptions &amp; Budget'!L67,IF('Assumptions &amp; Budget'!$E$48="Orders",L9/'Assumptions &amp; Budget'!L64,1))*(1+'Variance-to-Action Log'!$V$13)+IF(AND(L$7&gt;=1,L$7&lt;=$F$3),'Variance-to-Action Log'!$W$13/$F$3,0))</f>
        <v>302.06009824478281</v>
      </c>
      <c r="M21" s="19">
        <f>IF(M$5&lt;=$C$3,'Actual vs Budget'!M22,'Assumptions &amp; Budget'!M76*IF('Assumptions &amp; Budget'!$E$48="Revenue",M12/'Assumptions &amp; Budget'!M67,IF('Assumptions &amp; Budget'!$E$48="Orders",M9/'Assumptions &amp; Budget'!M64,1))*(1+'Variance-to-Action Log'!$V$13)+IF(AND(M$7&gt;=1,M$7&lt;=$F$3),'Variance-to-Action Log'!$W$13/$F$3,0))</f>
        <v>286.95709333254359</v>
      </c>
      <c r="N21" s="19">
        <f>IF(N$5&lt;=$C$3,'Actual vs Budget'!N22,'Assumptions &amp; Budget'!N76*IF('Assumptions &amp; Budget'!$E$48="Revenue",N12/'Assumptions &amp; Budget'!N67,IF('Assumptions &amp; Budget'!$E$48="Orders",N9/'Assumptions &amp; Budget'!N64,1))*(1+'Variance-to-Action Log'!$V$13)+IF(AND(N$7&gt;=1,N$7&lt;=$F$3),'Variance-to-Action Log'!$W$13/$F$3,0))</f>
        <v>296.01889627988714</v>
      </c>
      <c r="O21" s="19">
        <f>SUM($C21:$N21)</f>
        <v>3611.4404218894747</v>
      </c>
      <c r="P21" s="51">
        <f>'Assumptions &amp; Budget'!O76</f>
        <v>3339.7360199999998</v>
      </c>
      <c r="Q21" s="20">
        <f t="shared" si="5"/>
        <v>-271.70440188947487</v>
      </c>
      <c r="R21" s="30">
        <f t="shared" si="6"/>
        <v>-8.1355053292348198E-2</v>
      </c>
    </row>
    <row r="22" spans="1:18" x14ac:dyDescent="0.35">
      <c r="A22" s="5" t="s">
        <v>115</v>
      </c>
      <c r="B22" s="6" t="s">
        <v>104</v>
      </c>
      <c r="C22" s="19">
        <f>IF(C$5&lt;=$C$3,'Actual vs Budget'!C23,'Assumptions &amp; Budget'!C77*IF('Assumptions &amp; Budget'!$E$49="Revenue",C12/'Assumptions &amp; Budget'!C67,IF('Assumptions &amp; Budget'!$E$49="Orders",C9/'Assumptions &amp; Budget'!C64,1))*(1+'Variance-to-Action Log'!$V$14)+IF(AND(C$7&gt;=1,C$7&lt;=$F$3),'Variance-to-Action Log'!$W$14/$F$3,0))</f>
        <v>35.700000000000003</v>
      </c>
      <c r="D22" s="19">
        <f>IF(D$5&lt;=$C$3,'Actual vs Budget'!D23,'Assumptions &amp; Budget'!D77*IF('Assumptions &amp; Budget'!$E$49="Revenue",D12/'Assumptions &amp; Budget'!D67,IF('Assumptions &amp; Budget'!$E$49="Orders",D9/'Assumptions &amp; Budget'!D64,1))*(1+'Variance-to-Action Log'!$V$14)+IF(AND(D$7&gt;=1,D$7&lt;=$F$3),'Variance-to-Action Log'!$W$14/$F$3,0))</f>
        <v>34.1</v>
      </c>
      <c r="E22" s="19">
        <f>IF(E$5&lt;=$C$3,'Actual vs Budget'!E23,'Assumptions &amp; Budget'!E77*IF('Assumptions &amp; Budget'!$E$49="Revenue",E12/'Assumptions &amp; Budget'!E67,IF('Assumptions &amp; Budget'!$E$49="Orders",E9/'Assumptions &amp; Budget'!E64,1))*(1+'Variance-to-Action Log'!$V$14)+IF(AND(E$7&gt;=1,E$7&lt;=$F$3),'Variance-to-Action Log'!$W$14/$F$3,0))</f>
        <v>34.4</v>
      </c>
      <c r="F22" s="19">
        <f>IF(F$5&lt;=$C$3,'Actual vs Budget'!F23,'Assumptions &amp; Budget'!F77*IF('Assumptions &amp; Budget'!$E$49="Revenue",F12/'Assumptions &amp; Budget'!F67,IF('Assumptions &amp; Budget'!$E$49="Orders",F9/'Assumptions &amp; Budget'!F64,1))*(1+'Variance-to-Action Log'!$V$14)+IF(AND(F$7&gt;=1,F$7&lt;=$F$3),'Variance-to-Action Log'!$W$14/$F$3,0))</f>
        <v>103.8</v>
      </c>
      <c r="G22" s="19">
        <f>IF(G$5&lt;=$C$3,'Actual vs Budget'!G23,'Assumptions &amp; Budget'!G77*IF('Assumptions &amp; Budget'!$E$49="Revenue",G12/'Assumptions &amp; Budget'!G67,IF('Assumptions &amp; Budget'!$E$49="Orders",G9/'Assumptions &amp; Budget'!G64,1))*(1+'Variance-to-Action Log'!$V$14)+IF(AND(G$7&gt;=1,G$7&lt;=$F$3),'Variance-to-Action Log'!$W$14/$F$3,0))</f>
        <v>35.9</v>
      </c>
      <c r="H22" s="19">
        <f>IF(H$5&lt;=$C$3,'Actual vs Budget'!H23,'Assumptions &amp; Budget'!H77*IF('Assumptions &amp; Budget'!$E$49="Revenue",H12/'Assumptions &amp; Budget'!H67,IF('Assumptions &amp; Budget'!$E$49="Orders",H9/'Assumptions &amp; Budget'!H64,1))*(1+'Variance-to-Action Log'!$V$14)+IF(AND(H$7&gt;=1,H$7&lt;=$F$3),'Variance-to-Action Log'!$W$14/$F$3,0))</f>
        <v>34.700000000000003</v>
      </c>
      <c r="I22" s="19">
        <f>IF(I$5&lt;=$C$3,'Actual vs Budget'!I23,'Assumptions &amp; Budget'!I77*IF('Assumptions &amp; Budget'!$E$49="Revenue",I12/'Assumptions &amp; Budget'!I67,IF('Assumptions &amp; Budget'!$E$49="Orders",I9/'Assumptions &amp; Budget'!I64,1))*(1+'Variance-to-Action Log'!$V$14)+IF(AND(I$7&gt;=1,I$7&lt;=$F$3),'Variance-to-Action Log'!$W$14/$F$3,0))</f>
        <v>34.317500000000003</v>
      </c>
      <c r="J22" s="19">
        <f>IF(J$5&lt;=$C$3,'Actual vs Budget'!J23,'Assumptions &amp; Budget'!J77*IF('Assumptions &amp; Budget'!$E$49="Revenue",J12/'Assumptions &amp; Budget'!J67,IF('Assumptions &amp; Budget'!$E$49="Orders",J9/'Assumptions &amp; Budget'!J64,1))*(1+'Variance-to-Action Log'!$V$14)+IF(AND(J$7&gt;=1,J$7&lt;=$F$3),'Variance-to-Action Log'!$W$14/$F$3,0))</f>
        <v>34.317500000000003</v>
      </c>
      <c r="K22" s="19">
        <f>IF(K$5&lt;=$C$3,'Actual vs Budget'!K23,'Assumptions &amp; Budget'!K77*IF('Assumptions &amp; Budget'!$E$49="Revenue",K12/'Assumptions &amp; Budget'!K67,IF('Assumptions &amp; Budget'!$E$49="Orders",K9/'Assumptions &amp; Budget'!K64,1))*(1+'Variance-to-Action Log'!$V$14)+IF(AND(K$7&gt;=1,K$7&lt;=$F$3),'Variance-to-Action Log'!$W$14/$F$3,0))</f>
        <v>34.317500000000003</v>
      </c>
      <c r="L22" s="19">
        <f>IF(L$5&lt;=$C$3,'Actual vs Budget'!L23,'Assumptions &amp; Budget'!L77*IF('Assumptions &amp; Budget'!$E$49="Revenue",L12/'Assumptions &amp; Budget'!L67,IF('Assumptions &amp; Budget'!$E$49="Orders",L9/'Assumptions &amp; Budget'!L64,1))*(1+'Variance-to-Action Log'!$V$14)+IF(AND(L$7&gt;=1,L$7&lt;=$F$3),'Variance-to-Action Log'!$W$14/$F$3,0))</f>
        <v>34.317500000000003</v>
      </c>
      <c r="M22" s="19">
        <f>IF(M$5&lt;=$C$3,'Actual vs Budget'!M23,'Assumptions &amp; Budget'!M77*IF('Assumptions &amp; Budget'!$E$49="Revenue",M12/'Assumptions &amp; Budget'!M67,IF('Assumptions &amp; Budget'!$E$49="Orders",M9/'Assumptions &amp; Budget'!M64,1))*(1+'Variance-to-Action Log'!$V$14)+IF(AND(M$7&gt;=1,M$7&lt;=$F$3),'Variance-to-Action Log'!$W$14/$F$3,0))</f>
        <v>34.317500000000003</v>
      </c>
      <c r="N22" s="19">
        <f>IF(N$5&lt;=$C$3,'Actual vs Budget'!N23,'Assumptions &amp; Budget'!N77*IF('Assumptions &amp; Budget'!$E$49="Revenue",N12/'Assumptions &amp; Budget'!N67,IF('Assumptions &amp; Budget'!$E$49="Orders",N9/'Assumptions &amp; Budget'!N64,1))*(1+'Variance-to-Action Log'!$V$14)+IF(AND(N$7&gt;=1,N$7&lt;=$F$3),'Variance-to-Action Log'!$W$14/$F$3,0))</f>
        <v>34.317500000000003</v>
      </c>
      <c r="O22" s="19">
        <f>SUM($C22:$N22)</f>
        <v>484.505</v>
      </c>
      <c r="P22" s="51">
        <f>'Assumptions &amp; Budget'!O77</f>
        <v>411.81</v>
      </c>
      <c r="Q22" s="20">
        <f t="shared" si="5"/>
        <v>-72.694999999999993</v>
      </c>
      <c r="R22" s="30">
        <f t="shared" si="6"/>
        <v>-0.17652558218595954</v>
      </c>
    </row>
    <row r="23" spans="1:18" x14ac:dyDescent="0.35">
      <c r="A23" s="32" t="s">
        <v>116</v>
      </c>
      <c r="B23" s="33" t="s">
        <v>104</v>
      </c>
      <c r="C23" s="34">
        <f t="shared" ref="C23:O23" si="8">C20+C21+C22</f>
        <v>406.2</v>
      </c>
      <c r="D23" s="34">
        <f t="shared" si="8"/>
        <v>401.8</v>
      </c>
      <c r="E23" s="34">
        <f t="shared" si="8"/>
        <v>417.9</v>
      </c>
      <c r="F23" s="34">
        <f t="shared" si="8"/>
        <v>483.90000000000003</v>
      </c>
      <c r="G23" s="34">
        <f t="shared" si="8"/>
        <v>429.9</v>
      </c>
      <c r="H23" s="34">
        <f t="shared" si="8"/>
        <v>442.99999999999994</v>
      </c>
      <c r="I23" s="34">
        <f t="shared" si="8"/>
        <v>497.72250379977959</v>
      </c>
      <c r="J23" s="34">
        <f t="shared" si="8"/>
        <v>482.61949888754043</v>
      </c>
      <c r="K23" s="34">
        <f t="shared" si="8"/>
        <v>455.10503268722329</v>
      </c>
      <c r="L23" s="34">
        <f t="shared" si="8"/>
        <v>440.00202777498413</v>
      </c>
      <c r="M23" s="34">
        <f t="shared" si="8"/>
        <v>424.89902286274491</v>
      </c>
      <c r="N23" s="34">
        <f t="shared" si="8"/>
        <v>433.96082581008847</v>
      </c>
      <c r="O23" s="34">
        <f t="shared" si="8"/>
        <v>5317.0089118223605</v>
      </c>
      <c r="P23" s="50">
        <f>'Assumptions &amp; Budget'!O78</f>
        <v>4973.5068253691279</v>
      </c>
      <c r="Q23" s="57">
        <f t="shared" si="5"/>
        <v>-343.50208645323255</v>
      </c>
      <c r="R23" s="35">
        <f t="shared" si="6"/>
        <v>-6.9066374796366792E-2</v>
      </c>
    </row>
    <row r="24" spans="1:18" x14ac:dyDescent="0.35">
      <c r="A24" s="5" t="s">
        <v>117</v>
      </c>
      <c r="B24" s="6" t="s">
        <v>104</v>
      </c>
      <c r="C24" s="19">
        <f>IF(C$5&lt;=$C$3,'Actual vs Budget'!C25,'Assumptions &amp; Budget'!C79*IF('Assumptions &amp; Budget'!$E$50="Revenue",C12/'Assumptions &amp; Budget'!C67,IF('Assumptions &amp; Budget'!$E$50="Orders",C9/'Assumptions &amp; Budget'!C64,1))*(1+'Variance-to-Action Log'!$V$15)+IF(AND(C$7&gt;=1,C$7&lt;=$F$3),'Variance-to-Action Log'!$W$15/$F$3,0))</f>
        <v>90.7</v>
      </c>
      <c r="D24" s="19">
        <f>IF(D$5&lt;=$C$3,'Actual vs Budget'!D25,'Assumptions &amp; Budget'!D79*IF('Assumptions &amp; Budget'!$E$50="Revenue",D12/'Assumptions &amp; Budget'!D67,IF('Assumptions &amp; Budget'!$E$50="Orders",D9/'Assumptions &amp; Budget'!D64,1))*(1+'Variance-to-Action Log'!$V$15)+IF(AND(D$7&gt;=1,D$7&lt;=$F$3),'Variance-to-Action Log'!$W$15/$F$3,0))</f>
        <v>89.2</v>
      </c>
      <c r="E24" s="19">
        <f>IF(E$5&lt;=$C$3,'Actual vs Budget'!E25,'Assumptions &amp; Budget'!E79*IF('Assumptions &amp; Budget'!$E$50="Revenue",E12/'Assumptions &amp; Budget'!E67,IF('Assumptions &amp; Budget'!$E$50="Orders",E9/'Assumptions &amp; Budget'!E64,1))*(1+'Variance-to-Action Log'!$V$15)+IF(AND(E$7&gt;=1,E$7&lt;=$F$3),'Variance-to-Action Log'!$W$15/$F$3,0))</f>
        <v>92</v>
      </c>
      <c r="F24" s="19">
        <f>IF(F$5&lt;=$C$3,'Actual vs Budget'!F25,'Assumptions &amp; Budget'!F79*IF('Assumptions &amp; Budget'!$E$50="Revenue",F12/'Assumptions &amp; Budget'!F67,IF('Assumptions &amp; Budget'!$E$50="Orders",F9/'Assumptions &amp; Budget'!F64,1))*(1+'Variance-to-Action Log'!$V$15)+IF(AND(F$7&gt;=1,F$7&lt;=$F$3),'Variance-to-Action Log'!$W$15/$F$3,0))</f>
        <v>93.9</v>
      </c>
      <c r="G24" s="19">
        <f>IF(G$5&lt;=$C$3,'Actual vs Budget'!G25,'Assumptions &amp; Budget'!G79*IF('Assumptions &amp; Budget'!$E$50="Revenue",G12/'Assumptions &amp; Budget'!G67,IF('Assumptions &amp; Budget'!$E$50="Orders",G9/'Assumptions &amp; Budget'!G64,1))*(1+'Variance-to-Action Log'!$V$15)+IF(AND(G$7&gt;=1,G$7&lt;=$F$3),'Variance-to-Action Log'!$W$15/$F$3,0))</f>
        <v>93.5</v>
      </c>
      <c r="H24" s="19">
        <f>IF(H$5&lt;=$C$3,'Actual vs Budget'!H25,'Assumptions &amp; Budget'!H79*IF('Assumptions &amp; Budget'!$E$50="Revenue",H12/'Assumptions &amp; Budget'!H67,IF('Assumptions &amp; Budget'!$E$50="Orders",H9/'Assumptions &amp; Budget'!H64,1))*(1+'Variance-to-Action Log'!$V$15)+IF(AND(H$7&gt;=1,H$7&lt;=$F$3),'Variance-to-Action Log'!$W$15/$F$3,0))</f>
        <v>92.6</v>
      </c>
      <c r="I24" s="19">
        <f>IF(I$5&lt;=$C$3,'Actual vs Budget'!I25,'Assumptions &amp; Budget'!I79*IF('Assumptions &amp; Budget'!$E$50="Revenue",I12/'Assumptions &amp; Budget'!I67,IF('Assumptions &amp; Budget'!$E$50="Orders",I9/'Assumptions &amp; Budget'!I64,1))*(1+'Variance-to-Action Log'!$V$15)+IF(AND(I$7&gt;=1,I$7&lt;=$F$3),'Variance-to-Action Log'!$W$15/$F$3,0))</f>
        <v>93.844206185567018</v>
      </c>
      <c r="J24" s="19">
        <f>IF(J$5&lt;=$C$3,'Actual vs Budget'!J25,'Assumptions &amp; Budget'!J79*IF('Assumptions &amp; Budget'!$E$50="Revenue",J12/'Assumptions &amp; Budget'!J67,IF('Assumptions &amp; Budget'!$E$50="Orders",J9/'Assumptions &amp; Budget'!J64,1))*(1+'Variance-to-Action Log'!$V$15)+IF(AND(J$7&gt;=1,J$7&lt;=$F$3),'Variance-to-Action Log'!$W$15/$F$3,0))</f>
        <v>93.844206185567018</v>
      </c>
      <c r="K24" s="19">
        <f>IF(K$5&lt;=$C$3,'Actual vs Budget'!K25,'Assumptions &amp; Budget'!K79*IF('Assumptions &amp; Budget'!$E$50="Revenue",K12/'Assumptions &amp; Budget'!K67,IF('Assumptions &amp; Budget'!$E$50="Orders",K9/'Assumptions &amp; Budget'!K64,1))*(1+'Variance-to-Action Log'!$V$15)+IF(AND(K$7&gt;=1,K$7&lt;=$F$3),'Variance-to-Action Log'!$W$15/$F$3,0))</f>
        <v>93.844206185567018</v>
      </c>
      <c r="L24" s="19">
        <f>IF(L$5&lt;=$C$3,'Actual vs Budget'!L25,'Assumptions &amp; Budget'!L79*IF('Assumptions &amp; Budget'!$E$50="Revenue",L12/'Assumptions &amp; Budget'!L67,IF('Assumptions &amp; Budget'!$E$50="Orders",L9/'Assumptions &amp; Budget'!L64,1))*(1+'Variance-to-Action Log'!$V$15)+IF(AND(L$7&gt;=1,L$7&lt;=$F$3),'Variance-to-Action Log'!$W$15/$F$3,0))</f>
        <v>93.844206185567018</v>
      </c>
      <c r="M24" s="19">
        <f>IF(M$5&lt;=$C$3,'Actual vs Budget'!M25,'Assumptions &amp; Budget'!M79*IF('Assumptions &amp; Budget'!$E$50="Revenue",M12/'Assumptions &amp; Budget'!M67,IF('Assumptions &amp; Budget'!$E$50="Orders",M9/'Assumptions &amp; Budget'!M64,1))*(1+'Variance-to-Action Log'!$V$15)+IF(AND(M$7&gt;=1,M$7&lt;=$F$3),'Variance-to-Action Log'!$W$15/$F$3,0))</f>
        <v>93.844206185567018</v>
      </c>
      <c r="N24" s="19">
        <f>IF(N$5&lt;=$C$3,'Actual vs Budget'!N25,'Assumptions &amp; Budget'!N79*IF('Assumptions &amp; Budget'!$E$50="Revenue",N12/'Assumptions &amp; Budget'!N67,IF('Assumptions &amp; Budget'!$E$50="Orders",N9/'Assumptions &amp; Budget'!N64,1))*(1+'Variance-to-Action Log'!$V$15)+IF(AND(N$7&gt;=1,N$7&lt;=$F$3),'Variance-to-Action Log'!$W$15/$F$3,0))</f>
        <v>93.844206185567018</v>
      </c>
      <c r="O24" s="19">
        <f>SUM($C24:$N24)</f>
        <v>1114.9652371134021</v>
      </c>
      <c r="P24" s="51">
        <f>'Assumptions &amp; Budget'!O79</f>
        <v>1117.7265154639176</v>
      </c>
      <c r="Q24" s="20">
        <f t="shared" si="5"/>
        <v>2.7612783505155676</v>
      </c>
      <c r="R24" s="30">
        <f t="shared" si="6"/>
        <v>2.4704418409269694E-3</v>
      </c>
    </row>
    <row r="25" spans="1:18" x14ac:dyDescent="0.35">
      <c r="A25" s="5" t="s">
        <v>118</v>
      </c>
      <c r="B25" s="6" t="s">
        <v>104</v>
      </c>
      <c r="C25" s="19">
        <f>IF(C$5&lt;=$C$3,'Actual vs Budget'!C26,'Assumptions &amp; Budget'!C80*IF('Assumptions &amp; Budget'!$E$51="Revenue",C12/'Assumptions &amp; Budget'!C67,IF('Assumptions &amp; Budget'!$E$51="Orders",C9/'Assumptions &amp; Budget'!C64,1))*(1+'Variance-to-Action Log'!$V$16)+IF(AND(C$7&gt;=1,C$7&lt;=$F$3),'Variance-to-Action Log'!$W$16/$F$3,0))</f>
        <v>757.8</v>
      </c>
      <c r="D25" s="19">
        <f>IF(D$5&lt;=$C$3,'Actual vs Budget'!D26,'Assumptions &amp; Budget'!D80*IF('Assumptions &amp; Budget'!$E$51="Revenue",D12/'Assumptions &amp; Budget'!D67,IF('Assumptions &amp; Budget'!$E$51="Orders",D9/'Assumptions &amp; Budget'!D64,1))*(1+'Variance-to-Action Log'!$V$16)+IF(AND(D$7&gt;=1,D$7&lt;=$F$3),'Variance-to-Action Log'!$W$16/$F$3,0))</f>
        <v>745.1</v>
      </c>
      <c r="E25" s="19">
        <f>IF(E$5&lt;=$C$3,'Actual vs Budget'!E26,'Assumptions &amp; Budget'!E80*IF('Assumptions &amp; Budget'!$E$51="Revenue",E12/'Assumptions &amp; Budget'!E67,IF('Assumptions &amp; Budget'!$E$51="Orders",E9/'Assumptions &amp; Budget'!E64,1))*(1+'Variance-to-Action Log'!$V$16)+IF(AND(E$7&gt;=1,E$7&lt;=$F$3),'Variance-to-Action Log'!$W$16/$F$3,0))</f>
        <v>735.5</v>
      </c>
      <c r="F25" s="19">
        <f>IF(F$5&lt;=$C$3,'Actual vs Budget'!F26,'Assumptions &amp; Budget'!F80*IF('Assumptions &amp; Budget'!$E$51="Revenue",F12/'Assumptions &amp; Budget'!F67,IF('Assumptions &amp; Budget'!$E$51="Orders",F9/'Assumptions &amp; Budget'!F64,1))*(1+'Variance-to-Action Log'!$V$16)+IF(AND(F$7&gt;=1,F$7&lt;=$F$3),'Variance-to-Action Log'!$W$16/$F$3,0))</f>
        <v>718</v>
      </c>
      <c r="G25" s="19">
        <f>IF(G$5&lt;=$C$3,'Actual vs Budget'!G26,'Assumptions &amp; Budget'!G80*IF('Assumptions &amp; Budget'!$E$51="Revenue",G12/'Assumptions &amp; Budget'!G67,IF('Assumptions &amp; Budget'!$E$51="Orders",G9/'Assumptions &amp; Budget'!G64,1))*(1+'Variance-to-Action Log'!$V$16)+IF(AND(G$7&gt;=1,G$7&lt;=$F$3),'Variance-to-Action Log'!$W$16/$F$3,0))</f>
        <v>830.3</v>
      </c>
      <c r="H25" s="19">
        <f>IF(H$5&lt;=$C$3,'Actual vs Budget'!H26,'Assumptions &amp; Budget'!H80*IF('Assumptions &amp; Budget'!$E$51="Revenue",H12/'Assumptions &amp; Budget'!H67,IF('Assumptions &amp; Budget'!$E$51="Orders",H9/'Assumptions &amp; Budget'!H64,1))*(1+'Variance-to-Action Log'!$V$16)+IF(AND(H$7&gt;=1,H$7&lt;=$F$3),'Variance-to-Action Log'!$W$16/$F$3,0))</f>
        <v>948.7</v>
      </c>
      <c r="I25" s="19">
        <f>IF(I$5&lt;=$C$3,'Actual vs Budget'!I26,'Assumptions &amp; Budget'!I80*IF('Assumptions &amp; Budget'!$E$51="Revenue",I12/'Assumptions &amp; Budget'!I67,IF('Assumptions &amp; Budget'!$E$51="Orders",I9/'Assumptions &amp; Budget'!I64,1))*(1+'Variance-to-Action Log'!$V$16)+IF(AND(I$7&gt;=1,I$7&lt;=$F$3),'Variance-to-Action Log'!$W$16/$F$3,0))</f>
        <v>890.30276775711354</v>
      </c>
      <c r="J25" s="19">
        <f>IF(J$5&lt;=$C$3,'Actual vs Budget'!J26,'Assumptions &amp; Budget'!J80*IF('Assumptions &amp; Budget'!$E$51="Revenue",J12/'Assumptions &amp; Budget'!J67,IF('Assumptions &amp; Budget'!$E$51="Orders",J9/'Assumptions &amp; Budget'!J64,1))*(1+'Variance-to-Action Log'!$V$16)+IF(AND(J$7&gt;=1,J$7&lt;=$F$3),'Variance-to-Action Log'!$W$16/$F$3,0))</f>
        <v>852.44114858043815</v>
      </c>
      <c r="K25" s="19">
        <f>IF(K$5&lt;=$C$3,'Actual vs Budget'!K26,'Assumptions &amp; Budget'!K80*IF('Assumptions &amp; Budget'!$E$51="Revenue",K12/'Assumptions &amp; Budget'!K67,IF('Assumptions &amp; Budget'!$E$51="Orders",K9/'Assumptions &amp; Budget'!K64,1))*(1+'Variance-to-Action Log'!$V$16)+IF(AND(K$7&gt;=1,K$7&lt;=$F$3),'Variance-to-Action Log'!$W$16/$F$3,0))</f>
        <v>859.15330029265499</v>
      </c>
      <c r="L25" s="19">
        <f>IF(L$5&lt;=$C$3,'Actual vs Budget'!L26,'Assumptions &amp; Budget'!L80*IF('Assumptions &amp; Budget'!$E$51="Revenue",L12/'Assumptions &amp; Budget'!L67,IF('Assumptions &amp; Budget'!$E$51="Orders",L9/'Assumptions &amp; Budget'!L64,1))*(1+'Variance-to-Action Log'!$V$16)+IF(AND(L$7&gt;=1,L$7&lt;=$F$3),'Variance-to-Action Log'!$W$16/$F$3,0))</f>
        <v>820.69596208907865</v>
      </c>
      <c r="M25" s="19">
        <f>IF(M$5&lt;=$C$3,'Actual vs Budget'!M26,'Assumptions &amp; Budget'!M80*IF('Assumptions &amp; Budget'!$E$51="Revenue",M12/'Assumptions &amp; Budget'!M67,IF('Assumptions &amp; Budget'!$E$51="Orders",M9/'Assumptions &amp; Budget'!M64,1))*(1+'Variance-to-Action Log'!$V$16)+IF(AND(M$7&gt;=1,M$7&lt;=$F$3),'Variance-to-Action Log'!$W$16/$F$3,0))</f>
        <v>782.00014747657849</v>
      </c>
      <c r="N25" s="19">
        <f>IF(N$5&lt;=$C$3,'Actual vs Budget'!N26,'Assumptions &amp; Budget'!N80*IF('Assumptions &amp; Budget'!$E$51="Revenue",N12/'Assumptions &amp; Budget'!N67,IF('Assumptions &amp; Budget'!$E$51="Orders",N9/'Assumptions &amp; Budget'!N64,1))*(1+'Variance-to-Action Log'!$V$16)+IF(AND(N$7&gt;=1,N$7&lt;=$F$3),'Variance-to-Action Log'!$W$16/$F$3,0))</f>
        <v>809.11497364276636</v>
      </c>
      <c r="O25" s="19">
        <f>SUM($C25:$N25)</f>
        <v>9749.10829983863</v>
      </c>
      <c r="P25" s="51">
        <f>'Assumptions &amp; Budget'!O80</f>
        <v>9749.10829983863</v>
      </c>
      <c r="Q25" s="20">
        <f t="shared" si="5"/>
        <v>0</v>
      </c>
      <c r="R25" s="30">
        <f t="shared" si="6"/>
        <v>0</v>
      </c>
    </row>
    <row r="26" spans="1:18" x14ac:dyDescent="0.35">
      <c r="A26" s="5" t="s">
        <v>119</v>
      </c>
      <c r="B26" s="6" t="s">
        <v>104</v>
      </c>
      <c r="C26" s="19">
        <f>IF(C$5&lt;=$C$3,'Actual vs Budget'!C27,'Assumptions &amp; Budget'!C81*IF('Assumptions &amp; Budget'!$E$52="Revenue",C12/'Assumptions &amp; Budget'!C67,IF('Assumptions &amp; Budget'!$E$52="Orders",C9/'Assumptions &amp; Budget'!C64,1))*(1+'Variance-to-Action Log'!$V$17)+IF(AND(C$7&gt;=1,C$7&lt;=$F$3),'Variance-to-Action Log'!$W$17/$F$3,0))</f>
        <v>360.1</v>
      </c>
      <c r="D26" s="19">
        <f>IF(D$5&lt;=$C$3,'Actual vs Budget'!D27,'Assumptions &amp; Budget'!D81*IF('Assumptions &amp; Budget'!$E$52="Revenue",D12/'Assumptions &amp; Budget'!D67,IF('Assumptions &amp; Budget'!$E$52="Orders",D9/'Assumptions &amp; Budget'!D64,1))*(1+'Variance-to-Action Log'!$V$17)+IF(AND(D$7&gt;=1,D$7&lt;=$F$3),'Variance-to-Action Log'!$W$17/$F$3,0))</f>
        <v>349.7</v>
      </c>
      <c r="E26" s="19">
        <f>IF(E$5&lt;=$C$3,'Actual vs Budget'!E27,'Assumptions &amp; Budget'!E81*IF('Assumptions &amp; Budget'!$E$52="Revenue",E12/'Assumptions &amp; Budget'!E67,IF('Assumptions &amp; Budget'!$E$52="Orders",E9/'Assumptions &amp; Budget'!E64,1))*(1+'Variance-to-Action Log'!$V$17)+IF(AND(E$7&gt;=1,E$7&lt;=$F$3),'Variance-to-Action Log'!$W$17/$F$3,0))</f>
        <v>401.3</v>
      </c>
      <c r="F26" s="19">
        <f>IF(F$5&lt;=$C$3,'Actual vs Budget'!F27,'Assumptions &amp; Budget'!F81*IF('Assumptions &amp; Budget'!$E$52="Revenue",F12/'Assumptions &amp; Budget'!F67,IF('Assumptions &amp; Budget'!$E$52="Orders",F9/'Assumptions &amp; Budget'!F64,1))*(1+'Variance-to-Action Log'!$V$17)+IF(AND(F$7&gt;=1,F$7&lt;=$F$3),'Variance-to-Action Log'!$W$17/$F$3,0))</f>
        <v>378</v>
      </c>
      <c r="G26" s="19">
        <f>IF(G$5&lt;=$C$3,'Actual vs Budget'!G27,'Assumptions &amp; Budget'!G81*IF('Assumptions &amp; Budget'!$E$52="Revenue",G12/'Assumptions &amp; Budget'!G67,IF('Assumptions &amp; Budget'!$E$52="Orders",G9/'Assumptions &amp; Budget'!G64,1))*(1+'Variance-to-Action Log'!$V$17)+IF(AND(G$7&gt;=1,G$7&lt;=$F$3),'Variance-to-Action Log'!$W$17/$F$3,0))</f>
        <v>405.6</v>
      </c>
      <c r="H26" s="19">
        <f>IF(H$5&lt;=$C$3,'Actual vs Budget'!H27,'Assumptions &amp; Budget'!H81*IF('Assumptions &amp; Budget'!$E$52="Revenue",H12/'Assumptions &amp; Budget'!H67,IF('Assumptions &amp; Budget'!$E$52="Orders",H9/'Assumptions &amp; Budget'!H64,1))*(1+'Variance-to-Action Log'!$V$17)+IF(AND(H$7&gt;=1,H$7&lt;=$F$3),'Variance-to-Action Log'!$W$17/$F$3,0))</f>
        <v>425.4</v>
      </c>
      <c r="I26" s="19">
        <f>IF(I$5&lt;=$C$3,'Actual vs Budget'!I27,'Assumptions &amp; Budget'!I81*IF('Assumptions &amp; Budget'!$E$52="Revenue",I12/'Assumptions &amp; Budget'!I67,IF('Assumptions &amp; Budget'!$E$52="Orders",I9/'Assumptions &amp; Budget'!I64,1))*(1+'Variance-to-Action Log'!$V$17)+IF(AND(I$7&gt;=1,I$7&lt;=$F$3),'Variance-to-Action Log'!$W$17/$F$3,0))</f>
        <v>483.01054314866326</v>
      </c>
      <c r="J26" s="19">
        <f>IF(J$5&lt;=$C$3,'Actual vs Budget'!J27,'Assumptions &amp; Budget'!J81*IF('Assumptions &amp; Budget'!$E$52="Revenue",J12/'Assumptions &amp; Budget'!J67,IF('Assumptions &amp; Budget'!$E$52="Orders",J9/'Assumptions &amp; Budget'!J64,1))*(1+'Variance-to-Action Log'!$V$17)+IF(AND(J$7&gt;=1,J$7&lt;=$F$3),'Variance-to-Action Log'!$W$17/$F$3,0))</f>
        <v>464.27375916235451</v>
      </c>
      <c r="K26" s="19">
        <f>IF(K$5&lt;=$C$3,'Actual vs Budget'!K27,'Assumptions &amp; Budget'!K81*IF('Assumptions &amp; Budget'!$E$52="Revenue",K12/'Assumptions &amp; Budget'!K67,IF('Assumptions &amp; Budget'!$E$52="Orders",K9/'Assumptions &amp; Budget'!K64,1))*(1+'Variance-to-Action Log'!$V$17)+IF(AND(K$7&gt;=1,K$7&lt;=$F$3),'Variance-to-Action Log'!$W$17/$F$3,0))</f>
        <v>425.1738343146381</v>
      </c>
      <c r="L26" s="19">
        <f>IF(L$5&lt;=$C$3,'Actual vs Budget'!L27,'Assumptions &amp; Budget'!L81*IF('Assumptions &amp; Budget'!$E$52="Revenue",L12/'Assumptions &amp; Budget'!L67,IF('Assumptions &amp; Budget'!$E$52="Orders",L9/'Assumptions &amp; Budget'!L64,1))*(1+'Variance-to-Action Log'!$V$17)+IF(AND(L$7&gt;=1,L$7&lt;=$F$3),'Variance-to-Action Log'!$W$17/$F$3,0))</f>
        <v>406.14224363579223</v>
      </c>
      <c r="M26" s="19">
        <f>IF(M$5&lt;=$C$3,'Actual vs Budget'!M27,'Assumptions &amp; Budget'!M81*IF('Assumptions &amp; Budget'!$E$52="Revenue",M12/'Assumptions &amp; Budget'!M67,IF('Assumptions &amp; Budget'!$E$52="Orders",M9/'Assumptions &amp; Budget'!M64,1))*(1+'Variance-to-Action Log'!$V$17)+IF(AND(M$7&gt;=1,M$7&lt;=$F$3),'Variance-to-Action Log'!$W$17/$F$3,0))</f>
        <v>386.99263684836461</v>
      </c>
      <c r="N26" s="19">
        <f>IF(N$5&lt;=$C$3,'Actual vs Budget'!N27,'Assumptions &amp; Budget'!N81*IF('Assumptions &amp; Budget'!$E$52="Revenue",N12/'Assumptions &amp; Budget'!N67,IF('Assumptions &amp; Budget'!$E$52="Orders",N9/'Assumptions &amp; Budget'!N64,1))*(1+'Variance-to-Action Log'!$V$17)+IF(AND(N$7&gt;=1,N$7&lt;=$F$3),'Variance-to-Action Log'!$W$17/$F$3,0))</f>
        <v>400.41109733024365</v>
      </c>
      <c r="O26" s="19">
        <f>SUM($C26:$N26)</f>
        <v>4886.1041144400569</v>
      </c>
      <c r="P26" s="51">
        <f>'Assumptions &amp; Budget'!O81</f>
        <v>4534.4689766691308</v>
      </c>
      <c r="Q26" s="20">
        <f t="shared" si="5"/>
        <v>-351.63513777092612</v>
      </c>
      <c r="R26" s="30">
        <f t="shared" si="6"/>
        <v>-7.7547148206365171E-2</v>
      </c>
    </row>
    <row r="27" spans="1:18" x14ac:dyDescent="0.35">
      <c r="A27" s="32" t="s">
        <v>120</v>
      </c>
      <c r="B27" s="33" t="s">
        <v>104</v>
      </c>
      <c r="C27" s="34">
        <f t="shared" ref="C27:O27" si="9">C24+C25+C26</f>
        <v>1208.5999999999999</v>
      </c>
      <c r="D27" s="34">
        <f t="shared" si="9"/>
        <v>1184</v>
      </c>
      <c r="E27" s="34">
        <f t="shared" si="9"/>
        <v>1228.8</v>
      </c>
      <c r="F27" s="34">
        <f t="shared" si="9"/>
        <v>1189.9000000000001</v>
      </c>
      <c r="G27" s="34">
        <f t="shared" si="9"/>
        <v>1329.4</v>
      </c>
      <c r="H27" s="34">
        <f t="shared" si="9"/>
        <v>1466.6999999999998</v>
      </c>
      <c r="I27" s="34">
        <f t="shared" si="9"/>
        <v>1467.1575170913438</v>
      </c>
      <c r="J27" s="34">
        <f t="shared" si="9"/>
        <v>1410.5591139283597</v>
      </c>
      <c r="K27" s="34">
        <f t="shared" si="9"/>
        <v>1378.1713407928601</v>
      </c>
      <c r="L27" s="34">
        <f t="shared" si="9"/>
        <v>1320.6824119104378</v>
      </c>
      <c r="M27" s="34">
        <f t="shared" si="9"/>
        <v>1262.8369905105101</v>
      </c>
      <c r="N27" s="34">
        <f t="shared" si="9"/>
        <v>1303.370277158577</v>
      </c>
      <c r="O27" s="34">
        <f t="shared" si="9"/>
        <v>15750.177651392089</v>
      </c>
      <c r="P27" s="50">
        <f>'Assumptions &amp; Budget'!O82</f>
        <v>15401.303791971677</v>
      </c>
      <c r="Q27" s="57">
        <f t="shared" si="5"/>
        <v>-348.87385942041146</v>
      </c>
      <c r="R27" s="35">
        <f t="shared" si="6"/>
        <v>-2.2652228936765138E-2</v>
      </c>
    </row>
    <row r="28" spans="1:18" x14ac:dyDescent="0.35">
      <c r="A28" s="5" t="s">
        <v>121</v>
      </c>
      <c r="B28" s="6" t="s">
        <v>104</v>
      </c>
      <c r="C28" s="19">
        <f>IF(C$5&lt;=$C$3,'Actual vs Budget'!C29,'Assumptions &amp; Budget'!C83*IF('Assumptions &amp; Budget'!$E$53="Revenue",C12/'Assumptions &amp; Budget'!C67,IF('Assumptions &amp; Budget'!$E$53="Orders",C9/'Assumptions &amp; Budget'!C64,1))*(1+'Variance-to-Action Log'!$V$18)+IF(AND(C$7&gt;=1,C$7&lt;=$F$3),'Variance-to-Action Log'!$W$18/$F$3,0))</f>
        <v>14</v>
      </c>
      <c r="D28" s="19">
        <f>IF(D$5&lt;=$C$3,'Actual vs Budget'!D29,'Assumptions &amp; Budget'!D83*IF('Assumptions &amp; Budget'!$E$53="Revenue",D12/'Assumptions &amp; Budget'!D67,IF('Assumptions &amp; Budget'!$E$53="Orders",D9/'Assumptions &amp; Budget'!D64,1))*(1+'Variance-to-Action Log'!$V$18)+IF(AND(D$7&gt;=1,D$7&lt;=$F$3),'Variance-to-Action Log'!$W$18/$F$3,0))</f>
        <v>13.9</v>
      </c>
      <c r="E28" s="19">
        <f>IF(E$5&lt;=$C$3,'Actual vs Budget'!E29,'Assumptions &amp; Budget'!E83*IF('Assumptions &amp; Budget'!$E$53="Revenue",E12/'Assumptions &amp; Budget'!E67,IF('Assumptions &amp; Budget'!$E$53="Orders",E9/'Assumptions &amp; Budget'!E64,1))*(1+'Variance-to-Action Log'!$V$18)+IF(AND(E$7&gt;=1,E$7&lt;=$F$3),'Variance-to-Action Log'!$W$18/$F$3,0))</f>
        <v>13.9</v>
      </c>
      <c r="F28" s="19">
        <f>IF(F$5&lt;=$C$3,'Actual vs Budget'!F29,'Assumptions &amp; Budget'!F83*IF('Assumptions &amp; Budget'!$E$53="Revenue",F12/'Assumptions &amp; Budget'!F67,IF('Assumptions &amp; Budget'!$E$53="Orders",F9/'Assumptions &amp; Budget'!F64,1))*(1+'Variance-to-Action Log'!$V$18)+IF(AND(F$7&gt;=1,F$7&lt;=$F$3),'Variance-to-Action Log'!$W$18/$F$3,0))</f>
        <v>13.9</v>
      </c>
      <c r="G28" s="19">
        <f>IF(G$5&lt;=$C$3,'Actual vs Budget'!G29,'Assumptions &amp; Budget'!G83*IF('Assumptions &amp; Budget'!$E$53="Revenue",G12/'Assumptions &amp; Budget'!G67,IF('Assumptions &amp; Budget'!$E$53="Orders",G9/'Assumptions &amp; Budget'!G64,1))*(1+'Variance-to-Action Log'!$V$18)+IF(AND(G$7&gt;=1,G$7&lt;=$F$3),'Variance-to-Action Log'!$W$18/$F$3,0))</f>
        <v>13.9</v>
      </c>
      <c r="H28" s="19">
        <f>IF(H$5&lt;=$C$3,'Actual vs Budget'!H29,'Assumptions &amp; Budget'!H83*IF('Assumptions &amp; Budget'!$E$53="Revenue",H12/'Assumptions &amp; Budget'!H67,IF('Assumptions &amp; Budget'!$E$53="Orders",H9/'Assumptions &amp; Budget'!H64,1))*(1+'Variance-to-Action Log'!$V$18)+IF(AND(H$7&gt;=1,H$7&lt;=$F$3),'Variance-to-Action Log'!$W$18/$F$3,0))</f>
        <v>14.9</v>
      </c>
      <c r="I28" s="19">
        <f>IF(I$5&lt;=$C$3,'Actual vs Budget'!I29,'Assumptions &amp; Budget'!I83*IF('Assumptions &amp; Budget'!$E$53="Revenue",I12/'Assumptions &amp; Budget'!I67,IF('Assumptions &amp; Budget'!$E$53="Orders",I9/'Assumptions &amp; Budget'!I64,1))*(1+'Variance-to-Action Log'!$V$18)+IF(AND(I$7&gt;=1,I$7&lt;=$F$3),'Variance-to-Action Log'!$W$18/$F$3,0))</f>
        <v>15.012</v>
      </c>
      <c r="J28" s="19">
        <f>IF(J$5&lt;=$C$3,'Actual vs Budget'!J29,'Assumptions &amp; Budget'!J83*IF('Assumptions &amp; Budget'!$E$53="Revenue",J12/'Assumptions &amp; Budget'!J67,IF('Assumptions &amp; Budget'!$E$53="Orders",J9/'Assumptions &amp; Budget'!J64,1))*(1+'Variance-to-Action Log'!$V$18)+IF(AND(J$7&gt;=1,J$7&lt;=$F$3),'Variance-to-Action Log'!$W$18/$F$3,0))</f>
        <v>15.012</v>
      </c>
      <c r="K28" s="19">
        <f>IF(K$5&lt;=$C$3,'Actual vs Budget'!K29,'Assumptions &amp; Budget'!K83*IF('Assumptions &amp; Budget'!$E$53="Revenue",K12/'Assumptions &amp; Budget'!K67,IF('Assumptions &amp; Budget'!$E$53="Orders",K9/'Assumptions &amp; Budget'!K64,1))*(1+'Variance-to-Action Log'!$V$18)+IF(AND(K$7&gt;=1,K$7&lt;=$F$3),'Variance-to-Action Log'!$W$18/$F$3,0))</f>
        <v>15.012</v>
      </c>
      <c r="L28" s="19">
        <f>IF(L$5&lt;=$C$3,'Actual vs Budget'!L29,'Assumptions &amp; Budget'!L83*IF('Assumptions &amp; Budget'!$E$53="Revenue",L12/'Assumptions &amp; Budget'!L67,IF('Assumptions &amp; Budget'!$E$53="Orders",L9/'Assumptions &amp; Budget'!L64,1))*(1+'Variance-to-Action Log'!$V$18)+IF(AND(L$7&gt;=1,L$7&lt;=$F$3),'Variance-to-Action Log'!$W$18/$F$3,0))</f>
        <v>15.012</v>
      </c>
      <c r="M28" s="19">
        <f>IF(M$5&lt;=$C$3,'Actual vs Budget'!M29,'Assumptions &amp; Budget'!M83*IF('Assumptions &amp; Budget'!$E$53="Revenue",M12/'Assumptions &amp; Budget'!M67,IF('Assumptions &amp; Budget'!$E$53="Orders",M9/'Assumptions &amp; Budget'!M64,1))*(1+'Variance-to-Action Log'!$V$18)+IF(AND(M$7&gt;=1,M$7&lt;=$F$3),'Variance-to-Action Log'!$W$18/$F$3,0))</f>
        <v>15.012</v>
      </c>
      <c r="N28" s="19">
        <f>IF(N$5&lt;=$C$3,'Actual vs Budget'!N29,'Assumptions &amp; Budget'!N83*IF('Assumptions &amp; Budget'!$E$53="Revenue",N12/'Assumptions &amp; Budget'!N67,IF('Assumptions &amp; Budget'!$E$53="Orders",N9/'Assumptions &amp; Budget'!N64,1))*(1+'Variance-to-Action Log'!$V$18)+IF(AND(N$7&gt;=1,N$7&lt;=$F$3),'Variance-to-Action Log'!$W$18/$F$3,0))</f>
        <v>15.012</v>
      </c>
      <c r="O28" s="19">
        <f>SUM($C28:$N28)</f>
        <v>174.572</v>
      </c>
      <c r="P28" s="51">
        <f>'Assumptions &amp; Budget'!O83</f>
        <v>180.14400000000001</v>
      </c>
      <c r="Q28" s="20">
        <f t="shared" si="5"/>
        <v>5.5720000000000027</v>
      </c>
      <c r="R28" s="30">
        <f t="shared" si="6"/>
        <v>3.0930810906830107E-2</v>
      </c>
    </row>
    <row r="29" spans="1:18" x14ac:dyDescent="0.35">
      <c r="A29" s="5" t="s">
        <v>122</v>
      </c>
      <c r="B29" s="6" t="s">
        <v>104</v>
      </c>
      <c r="C29" s="19">
        <f>IF(C$5&lt;=$C$3,'Actual vs Budget'!C30,'Assumptions &amp; Budget'!C84*IF('Assumptions &amp; Budget'!$E$54="Revenue",C12/'Assumptions &amp; Budget'!C67,IF('Assumptions &amp; Budget'!$E$54="Orders",C9/'Assumptions &amp; Budget'!C64,1))*(1+'Variance-to-Action Log'!$V$19)+IF(AND(C$7&gt;=1,C$7&lt;=$F$3),'Variance-to-Action Log'!$W$19/$F$3,0))</f>
        <v>10.199999999999999</v>
      </c>
      <c r="D29" s="19">
        <f>IF(D$5&lt;=$C$3,'Actual vs Budget'!D30,'Assumptions &amp; Budget'!D84*IF('Assumptions &amp; Budget'!$E$54="Revenue",D12/'Assumptions &amp; Budget'!D67,IF('Assumptions &amp; Budget'!$E$54="Orders",D9/'Assumptions &amp; Budget'!D64,1))*(1+'Variance-to-Action Log'!$V$19)+IF(AND(D$7&gt;=1,D$7&lt;=$F$3),'Variance-to-Action Log'!$W$19/$F$3,0))</f>
        <v>9.1999999999999993</v>
      </c>
      <c r="E29" s="19">
        <f>IF(E$5&lt;=$C$3,'Actual vs Budget'!E30,'Assumptions &amp; Budget'!E84*IF('Assumptions &amp; Budget'!$E$54="Revenue",E12/'Assumptions &amp; Budget'!E67,IF('Assumptions &amp; Budget'!$E$54="Orders",E9/'Assumptions &amp; Budget'!E64,1))*(1+'Variance-to-Action Log'!$V$19)+IF(AND(E$7&gt;=1,E$7&lt;=$F$3),'Variance-to-Action Log'!$W$19/$F$3,0))</f>
        <v>9.6999999999999993</v>
      </c>
      <c r="F29" s="19">
        <f>IF(F$5&lt;=$C$3,'Actual vs Budget'!F30,'Assumptions &amp; Budget'!F84*IF('Assumptions &amp; Budget'!$E$54="Revenue",F12/'Assumptions &amp; Budget'!F67,IF('Assumptions &amp; Budget'!$E$54="Orders",F9/'Assumptions &amp; Budget'!F64,1))*(1+'Variance-to-Action Log'!$V$19)+IF(AND(F$7&gt;=1,F$7&lt;=$F$3),'Variance-to-Action Log'!$W$19/$F$3,0))</f>
        <v>10.7</v>
      </c>
      <c r="G29" s="19">
        <f>IF(G$5&lt;=$C$3,'Actual vs Budget'!G30,'Assumptions &amp; Budget'!G84*IF('Assumptions &amp; Budget'!$E$54="Revenue",G12/'Assumptions &amp; Budget'!G67,IF('Assumptions &amp; Budget'!$E$54="Orders",G9/'Assumptions &amp; Budget'!G64,1))*(1+'Variance-to-Action Log'!$V$19)+IF(AND(G$7&gt;=1,G$7&lt;=$F$3),'Variance-to-Action Log'!$W$19/$F$3,0))</f>
        <v>10</v>
      </c>
      <c r="H29" s="19">
        <f>IF(H$5&lt;=$C$3,'Actual vs Budget'!H30,'Assumptions &amp; Budget'!H84*IF('Assumptions &amp; Budget'!$E$54="Revenue",H12/'Assumptions &amp; Budget'!H67,IF('Assumptions &amp; Budget'!$E$54="Orders",H9/'Assumptions &amp; Budget'!H64,1))*(1+'Variance-to-Action Log'!$V$19)+IF(AND(H$7&gt;=1,H$7&lt;=$F$3),'Variance-to-Action Log'!$W$19/$F$3,0))</f>
        <v>10.199999999999999</v>
      </c>
      <c r="I29" s="19">
        <f>IF(I$5&lt;=$C$3,'Actual vs Budget'!I30,'Assumptions &amp; Budget'!I84*IF('Assumptions &amp; Budget'!$E$54="Revenue",I12/'Assumptions &amp; Budget'!I67,IF('Assumptions &amp; Budget'!$E$54="Orders",I9/'Assumptions &amp; Budget'!I64,1))*(1+'Variance-to-Action Log'!$V$19)+IF(AND(I$7&gt;=1,I$7&lt;=$F$3),'Variance-to-Action Log'!$W$19/$F$3,0))</f>
        <v>10.123750000000001</v>
      </c>
      <c r="J29" s="19">
        <f>IF(J$5&lt;=$C$3,'Actual vs Budget'!J30,'Assumptions &amp; Budget'!J84*IF('Assumptions &amp; Budget'!$E$54="Revenue",J12/'Assumptions &amp; Budget'!J67,IF('Assumptions &amp; Budget'!$E$54="Orders",J9/'Assumptions &amp; Budget'!J64,1))*(1+'Variance-to-Action Log'!$V$19)+IF(AND(J$7&gt;=1,J$7&lt;=$F$3),'Variance-to-Action Log'!$W$19/$F$3,0))</f>
        <v>10.123750000000001</v>
      </c>
      <c r="K29" s="19">
        <f>IF(K$5&lt;=$C$3,'Actual vs Budget'!K30,'Assumptions &amp; Budget'!K84*IF('Assumptions &amp; Budget'!$E$54="Revenue",K12/'Assumptions &amp; Budget'!K67,IF('Assumptions &amp; Budget'!$E$54="Orders",K9/'Assumptions &amp; Budget'!K64,1))*(1+'Variance-to-Action Log'!$V$19)+IF(AND(K$7&gt;=1,K$7&lt;=$F$3),'Variance-to-Action Log'!$W$19/$F$3,0))</f>
        <v>10.123750000000001</v>
      </c>
      <c r="L29" s="19">
        <f>IF(L$5&lt;=$C$3,'Actual vs Budget'!L30,'Assumptions &amp; Budget'!L84*IF('Assumptions &amp; Budget'!$E$54="Revenue",L12/'Assumptions &amp; Budget'!L67,IF('Assumptions &amp; Budget'!$E$54="Orders",L9/'Assumptions &amp; Budget'!L64,1))*(1+'Variance-to-Action Log'!$V$19)+IF(AND(L$7&gt;=1,L$7&lt;=$F$3),'Variance-to-Action Log'!$W$19/$F$3,0))</f>
        <v>10.123750000000001</v>
      </c>
      <c r="M29" s="19">
        <f>IF(M$5&lt;=$C$3,'Actual vs Budget'!M30,'Assumptions &amp; Budget'!M84*IF('Assumptions &amp; Budget'!$E$54="Revenue",M12/'Assumptions &amp; Budget'!M67,IF('Assumptions &amp; Budget'!$E$54="Orders",M9/'Assumptions &amp; Budget'!M64,1))*(1+'Variance-to-Action Log'!$V$19)+IF(AND(M$7&gt;=1,M$7&lt;=$F$3),'Variance-to-Action Log'!$W$19/$F$3,0))</f>
        <v>10.123750000000001</v>
      </c>
      <c r="N29" s="19">
        <f>IF(N$5&lt;=$C$3,'Actual vs Budget'!N30,'Assumptions &amp; Budget'!N84*IF('Assumptions &amp; Budget'!$E$54="Revenue",N12/'Assumptions &amp; Budget'!N67,IF('Assumptions &amp; Budget'!$E$54="Orders",N9/'Assumptions &amp; Budget'!N64,1))*(1+'Variance-to-Action Log'!$V$19)+IF(AND(N$7&gt;=1,N$7&lt;=$F$3),'Variance-to-Action Log'!$W$19/$F$3,0))</f>
        <v>10.123750000000001</v>
      </c>
      <c r="O29" s="19">
        <f>SUM($C29:$N29)</f>
        <v>120.74250000000001</v>
      </c>
      <c r="P29" s="51">
        <f>'Assumptions &amp; Budget'!O84</f>
        <v>121.48500000000001</v>
      </c>
      <c r="Q29" s="20">
        <f t="shared" si="5"/>
        <v>0.74250000000000682</v>
      </c>
      <c r="R29" s="30">
        <f t="shared" si="6"/>
        <v>6.1118656624275158E-3</v>
      </c>
    </row>
    <row r="30" spans="1:18" x14ac:dyDescent="0.35">
      <c r="A30" s="32" t="s">
        <v>123</v>
      </c>
      <c r="B30" s="33" t="s">
        <v>104</v>
      </c>
      <c r="C30" s="34">
        <f t="shared" ref="C30:O30" si="10">C28+C29</f>
        <v>24.2</v>
      </c>
      <c r="D30" s="34">
        <f t="shared" si="10"/>
        <v>23.1</v>
      </c>
      <c r="E30" s="34">
        <f t="shared" si="10"/>
        <v>23.6</v>
      </c>
      <c r="F30" s="34">
        <f t="shared" si="10"/>
        <v>24.6</v>
      </c>
      <c r="G30" s="34">
        <f t="shared" si="10"/>
        <v>23.9</v>
      </c>
      <c r="H30" s="34">
        <f t="shared" si="10"/>
        <v>25.1</v>
      </c>
      <c r="I30" s="34">
        <f t="shared" si="10"/>
        <v>25.135750000000002</v>
      </c>
      <c r="J30" s="34">
        <f t="shared" si="10"/>
        <v>25.135750000000002</v>
      </c>
      <c r="K30" s="34">
        <f t="shared" si="10"/>
        <v>25.135750000000002</v>
      </c>
      <c r="L30" s="34">
        <f t="shared" si="10"/>
        <v>25.135750000000002</v>
      </c>
      <c r="M30" s="34">
        <f t="shared" si="10"/>
        <v>25.135750000000002</v>
      </c>
      <c r="N30" s="34">
        <f t="shared" si="10"/>
        <v>25.135750000000002</v>
      </c>
      <c r="O30" s="34">
        <f t="shared" si="10"/>
        <v>295.31450000000001</v>
      </c>
      <c r="P30" s="50">
        <f>'Assumptions &amp; Budget'!O85</f>
        <v>301.62900000000002</v>
      </c>
      <c r="Q30" s="57">
        <f t="shared" si="5"/>
        <v>6.3145000000000095</v>
      </c>
      <c r="R30" s="35">
        <f t="shared" si="6"/>
        <v>2.0934658139635146E-2</v>
      </c>
    </row>
    <row r="31" spans="1:18" x14ac:dyDescent="0.35">
      <c r="A31" s="5" t="s">
        <v>124</v>
      </c>
      <c r="B31" s="6" t="s">
        <v>104</v>
      </c>
      <c r="C31" s="19">
        <f>IF(C$5&lt;=$C$3,'Actual vs Budget'!C32,'Assumptions &amp; Budget'!C86*IF('Assumptions &amp; Budget'!$E$55="Revenue",C12/'Assumptions &amp; Budget'!C67,IF('Assumptions &amp; Budget'!$E$55="Orders",C9/'Assumptions &amp; Budget'!C64,1))*(1+'Variance-to-Action Log'!$V$20)+IF(AND(C$7&gt;=1,C$7&lt;=$F$3),'Variance-to-Action Log'!$W$20/$F$3,0))</f>
        <v>94</v>
      </c>
      <c r="D31" s="19">
        <f>IF(D$5&lt;=$C$3,'Actual vs Budget'!D32,'Assumptions &amp; Budget'!D86*IF('Assumptions &amp; Budget'!$E$55="Revenue",D12/'Assumptions &amp; Budget'!D67,IF('Assumptions &amp; Budget'!$E$55="Orders",D9/'Assumptions &amp; Budget'!D64,1))*(1+'Variance-to-Action Log'!$V$20)+IF(AND(D$7&gt;=1,D$7&lt;=$F$3),'Variance-to-Action Log'!$W$20/$F$3,0))</f>
        <v>94.3</v>
      </c>
      <c r="E31" s="19">
        <f>IF(E$5&lt;=$C$3,'Actual vs Budget'!E32,'Assumptions &amp; Budget'!E86*IF('Assumptions &amp; Budget'!$E$55="Revenue",E12/'Assumptions &amp; Budget'!E67,IF('Assumptions &amp; Budget'!$E$55="Orders",E9/'Assumptions &amp; Budget'!E64,1))*(1+'Variance-to-Action Log'!$V$20)+IF(AND(E$7&gt;=1,E$7&lt;=$F$3),'Variance-to-Action Log'!$W$20/$F$3,0))</f>
        <v>95.7</v>
      </c>
      <c r="F31" s="19">
        <f>IF(F$5&lt;=$C$3,'Actual vs Budget'!F32,'Assumptions &amp; Budget'!F86*IF('Assumptions &amp; Budget'!$E$55="Revenue",F12/'Assumptions &amp; Budget'!F67,IF('Assumptions &amp; Budget'!$E$55="Orders",F9/'Assumptions &amp; Budget'!F64,1))*(1+'Variance-to-Action Log'!$V$20)+IF(AND(F$7&gt;=1,F$7&lt;=$F$3),'Variance-to-Action Log'!$W$20/$F$3,0))</f>
        <v>98.9</v>
      </c>
      <c r="G31" s="19">
        <f>IF(G$5&lt;=$C$3,'Actual vs Budget'!G32,'Assumptions &amp; Budget'!G86*IF('Assumptions &amp; Budget'!$E$55="Revenue",G12/'Assumptions &amp; Budget'!G67,IF('Assumptions &amp; Budget'!$E$55="Orders",G9/'Assumptions &amp; Budget'!G64,1))*(1+'Variance-to-Action Log'!$V$20)+IF(AND(G$7&gt;=1,G$7&lt;=$F$3),'Variance-to-Action Log'!$W$20/$F$3,0))</f>
        <v>97.5</v>
      </c>
      <c r="H31" s="19">
        <f>IF(H$5&lt;=$C$3,'Actual vs Budget'!H32,'Assumptions &amp; Budget'!H86*IF('Assumptions &amp; Budget'!$E$55="Revenue",H12/'Assumptions &amp; Budget'!H67,IF('Assumptions &amp; Budget'!$E$55="Orders",H9/'Assumptions &amp; Budget'!H64,1))*(1+'Variance-to-Action Log'!$V$20)+IF(AND(H$7&gt;=1,H$7&lt;=$F$3),'Variance-to-Action Log'!$W$20/$F$3,0))</f>
        <v>99.5</v>
      </c>
      <c r="I31" s="19">
        <f>IF(I$5&lt;=$C$3,'Actual vs Budget'!I32,'Assumptions &amp; Budget'!I86*IF('Assumptions &amp; Budget'!$E$55="Revenue",I12/'Assumptions &amp; Budget'!I67,IF('Assumptions &amp; Budget'!$E$55="Orders",I9/'Assumptions &amp; Budget'!I64,1))*(1+'Variance-to-Action Log'!$V$20)+IF(AND(I$7&gt;=1,I$7&lt;=$F$3),'Variance-to-Action Log'!$W$20/$F$3,0))</f>
        <v>98.203354838709686</v>
      </c>
      <c r="J31" s="19">
        <f>IF(J$5&lt;=$C$3,'Actual vs Budget'!J32,'Assumptions &amp; Budget'!J86*IF('Assumptions &amp; Budget'!$E$55="Revenue",J12/'Assumptions &amp; Budget'!J67,IF('Assumptions &amp; Budget'!$E$55="Orders",J9/'Assumptions &amp; Budget'!J64,1))*(1+'Variance-to-Action Log'!$V$20)+IF(AND(J$7&gt;=1,J$7&lt;=$F$3),'Variance-to-Action Log'!$W$20/$F$3,0))</f>
        <v>98.203354838709686</v>
      </c>
      <c r="K31" s="19">
        <f>IF(K$5&lt;=$C$3,'Actual vs Budget'!K32,'Assumptions &amp; Budget'!K86*IF('Assumptions &amp; Budget'!$E$55="Revenue",K12/'Assumptions &amp; Budget'!K67,IF('Assumptions &amp; Budget'!$E$55="Orders",K9/'Assumptions &amp; Budget'!K64,1))*(1+'Variance-to-Action Log'!$V$20)+IF(AND(K$7&gt;=1,K$7&lt;=$F$3),'Variance-to-Action Log'!$W$20/$F$3,0))</f>
        <v>98.203354838709686</v>
      </c>
      <c r="L31" s="19">
        <f>IF(L$5&lt;=$C$3,'Actual vs Budget'!L32,'Assumptions &amp; Budget'!L86*IF('Assumptions &amp; Budget'!$E$55="Revenue",L12/'Assumptions &amp; Budget'!L67,IF('Assumptions &amp; Budget'!$E$55="Orders",L9/'Assumptions &amp; Budget'!L64,1))*(1+'Variance-to-Action Log'!$V$20)+IF(AND(L$7&gt;=1,L$7&lt;=$F$3),'Variance-to-Action Log'!$W$20/$F$3,0))</f>
        <v>98.203354838709686</v>
      </c>
      <c r="M31" s="19">
        <f>IF(M$5&lt;=$C$3,'Actual vs Budget'!M32,'Assumptions &amp; Budget'!M86*IF('Assumptions &amp; Budget'!$E$55="Revenue",M12/'Assumptions &amp; Budget'!M67,IF('Assumptions &amp; Budget'!$E$55="Orders",M9/'Assumptions &amp; Budget'!M64,1))*(1+'Variance-to-Action Log'!$V$20)+IF(AND(M$7&gt;=1,M$7&lt;=$F$3),'Variance-to-Action Log'!$W$20/$F$3,0))</f>
        <v>98.203354838709686</v>
      </c>
      <c r="N31" s="19">
        <f>IF(N$5&lt;=$C$3,'Actual vs Budget'!N32,'Assumptions &amp; Budget'!N86*IF('Assumptions &amp; Budget'!$E$55="Revenue",N12/'Assumptions &amp; Budget'!N67,IF('Assumptions &amp; Budget'!$E$55="Orders",N9/'Assumptions &amp; Budget'!N64,1))*(1+'Variance-to-Action Log'!$V$20)+IF(AND(N$7&gt;=1,N$7&lt;=$F$3),'Variance-to-Action Log'!$W$20/$F$3,0))</f>
        <v>98.203354838709686</v>
      </c>
      <c r="O31" s="19">
        <f>SUM($C31:$N31)</f>
        <v>1169.1201290322579</v>
      </c>
      <c r="P31" s="51">
        <f>'Assumptions &amp; Budget'!O86</f>
        <v>1167.5287741935481</v>
      </c>
      <c r="Q31" s="20">
        <f t="shared" si="5"/>
        <v>-1.5913548387097762</v>
      </c>
      <c r="R31" s="30">
        <f t="shared" si="6"/>
        <v>-1.3630112369684244E-3</v>
      </c>
    </row>
    <row r="32" spans="1:18" x14ac:dyDescent="0.35">
      <c r="A32" s="5" t="s">
        <v>125</v>
      </c>
      <c r="B32" s="6" t="s">
        <v>104</v>
      </c>
      <c r="C32" s="19">
        <f>IF(C$5&lt;=$C$3,'Actual vs Budget'!C33,'Assumptions &amp; Budget'!C87*IF('Assumptions &amp; Budget'!$E$56="Revenue",C12/'Assumptions &amp; Budget'!C67,IF('Assumptions &amp; Budget'!$E$56="Orders",C9/'Assumptions &amp; Budget'!C64,1))*(1+'Variance-to-Action Log'!$V$21)+IF(AND(C$7&gt;=1,C$7&lt;=$F$3),'Variance-to-Action Log'!$W$21/$F$3,0))</f>
        <v>52.2</v>
      </c>
      <c r="D32" s="19">
        <f>IF(D$5&lt;=$C$3,'Actual vs Budget'!D33,'Assumptions &amp; Budget'!D87*IF('Assumptions &amp; Budget'!$E$56="Revenue",D12/'Assumptions &amp; Budget'!D67,IF('Assumptions &amp; Budget'!$E$56="Orders",D9/'Assumptions &amp; Budget'!D64,1))*(1+'Variance-to-Action Log'!$V$21)+IF(AND(D$7&gt;=1,D$7&lt;=$F$3),'Variance-to-Action Log'!$W$21/$F$3,0))</f>
        <v>50.7</v>
      </c>
      <c r="E32" s="19">
        <f>IF(E$5&lt;=$C$3,'Actual vs Budget'!E33,'Assumptions &amp; Budget'!E87*IF('Assumptions &amp; Budget'!$E$56="Revenue",E12/'Assumptions &amp; Budget'!E67,IF('Assumptions &amp; Budget'!$E$56="Orders",E9/'Assumptions &amp; Budget'!E64,1))*(1+'Variance-to-Action Log'!$V$21)+IF(AND(E$7&gt;=1,E$7&lt;=$F$3),'Variance-to-Action Log'!$W$21/$F$3,0))</f>
        <v>138.4</v>
      </c>
      <c r="F32" s="19">
        <f>IF(F$5&lt;=$C$3,'Actual vs Budget'!F33,'Assumptions &amp; Budget'!F87*IF('Assumptions &amp; Budget'!$E$56="Revenue",F12/'Assumptions &amp; Budget'!F67,IF('Assumptions &amp; Budget'!$E$56="Orders",F9/'Assumptions &amp; Budget'!F64,1))*(1+'Variance-to-Action Log'!$V$21)+IF(AND(F$7&gt;=1,F$7&lt;=$F$3),'Variance-to-Action Log'!$W$21/$F$3,0))</f>
        <v>50.1</v>
      </c>
      <c r="G32" s="19">
        <f>IF(G$5&lt;=$C$3,'Actual vs Budget'!G33,'Assumptions &amp; Budget'!G87*IF('Assumptions &amp; Budget'!$E$56="Revenue",G12/'Assumptions &amp; Budget'!G67,IF('Assumptions &amp; Budget'!$E$56="Orders",G9/'Assumptions &amp; Budget'!G64,1))*(1+'Variance-to-Action Log'!$V$21)+IF(AND(G$7&gt;=1,G$7&lt;=$F$3),'Variance-to-Action Log'!$W$21/$F$3,0))</f>
        <v>52.2</v>
      </c>
      <c r="H32" s="19">
        <f>IF(H$5&lt;=$C$3,'Actual vs Budget'!H33,'Assumptions &amp; Budget'!H87*IF('Assumptions &amp; Budget'!$E$56="Revenue",H12/'Assumptions &amp; Budget'!H67,IF('Assumptions &amp; Budget'!$E$56="Orders",H9/'Assumptions &amp; Budget'!H64,1))*(1+'Variance-to-Action Log'!$V$21)+IF(AND(H$7&gt;=1,H$7&lt;=$F$3),'Variance-to-Action Log'!$W$21/$F$3,0))</f>
        <v>50.9</v>
      </c>
      <c r="I32" s="19">
        <f>IF(I$5&lt;=$C$3,'Actual vs Budget'!I33,'Assumptions &amp; Budget'!I87*IF('Assumptions &amp; Budget'!$E$56="Revenue",I12/'Assumptions &amp; Budget'!I67,IF('Assumptions &amp; Budget'!$E$56="Orders",I9/'Assumptions &amp; Budget'!I64,1))*(1+'Variance-to-Action Log'!$V$21)+IF(AND(I$7&gt;=1,I$7&lt;=$F$3),'Variance-to-Action Log'!$W$21/$F$3,0))</f>
        <v>52.210666666666683</v>
      </c>
      <c r="J32" s="19">
        <f>IF(J$5&lt;=$C$3,'Actual vs Budget'!J33,'Assumptions &amp; Budget'!J87*IF('Assumptions &amp; Budget'!$E$56="Revenue",J12/'Assumptions &amp; Budget'!J67,IF('Assumptions &amp; Budget'!$E$56="Orders",J9/'Assumptions &amp; Budget'!J64,1))*(1+'Variance-to-Action Log'!$V$21)+IF(AND(J$7&gt;=1,J$7&lt;=$F$3),'Variance-to-Action Log'!$W$21/$F$3,0))</f>
        <v>52.210666666666683</v>
      </c>
      <c r="K32" s="19">
        <f>IF(K$5&lt;=$C$3,'Actual vs Budget'!K33,'Assumptions &amp; Budget'!K87*IF('Assumptions &amp; Budget'!$E$56="Revenue",K12/'Assumptions &amp; Budget'!K67,IF('Assumptions &amp; Budget'!$E$56="Orders",K9/'Assumptions &amp; Budget'!K64,1))*(1+'Variance-to-Action Log'!$V$21)+IF(AND(K$7&gt;=1,K$7&lt;=$F$3),'Variance-to-Action Log'!$W$21/$F$3,0))</f>
        <v>52.210666666666683</v>
      </c>
      <c r="L32" s="19">
        <f>IF(L$5&lt;=$C$3,'Actual vs Budget'!L33,'Assumptions &amp; Budget'!L87*IF('Assumptions &amp; Budget'!$E$56="Revenue",L12/'Assumptions &amp; Budget'!L67,IF('Assumptions &amp; Budget'!$E$56="Orders",L9/'Assumptions &amp; Budget'!L64,1))*(1+'Variance-to-Action Log'!$V$21)+IF(AND(L$7&gt;=1,L$7&lt;=$F$3),'Variance-to-Action Log'!$W$21/$F$3,0))</f>
        <v>52.210666666666683</v>
      </c>
      <c r="M32" s="19">
        <f>IF(M$5&lt;=$C$3,'Actual vs Budget'!M33,'Assumptions &amp; Budget'!M87*IF('Assumptions &amp; Budget'!$E$56="Revenue",M12/'Assumptions &amp; Budget'!M67,IF('Assumptions &amp; Budget'!$E$56="Orders",M9/'Assumptions &amp; Budget'!M64,1))*(1+'Variance-to-Action Log'!$V$21)+IF(AND(M$7&gt;=1,M$7&lt;=$F$3),'Variance-to-Action Log'!$W$21/$F$3,0))</f>
        <v>52.210666666666683</v>
      </c>
      <c r="N32" s="19">
        <f>IF(N$5&lt;=$C$3,'Actual vs Budget'!N33,'Assumptions &amp; Budget'!N87*IF('Assumptions &amp; Budget'!$E$56="Revenue",N12/'Assumptions &amp; Budget'!N67,IF('Assumptions &amp; Budget'!$E$56="Orders",N9/'Assumptions &amp; Budget'!N64,1))*(1+'Variance-to-Action Log'!$V$21)+IF(AND(N$7&gt;=1,N$7&lt;=$F$3),'Variance-to-Action Log'!$W$21/$F$3,0))</f>
        <v>52.210666666666683</v>
      </c>
      <c r="O32" s="19">
        <f>SUM($C32:$N32)</f>
        <v>707.76400000000024</v>
      </c>
      <c r="P32" s="51">
        <f>'Assumptions &amp; Budget'!O87</f>
        <v>626.52800000000025</v>
      </c>
      <c r="Q32" s="20">
        <f t="shared" si="5"/>
        <v>-81.23599999999999</v>
      </c>
      <c r="R32" s="30">
        <f t="shared" si="6"/>
        <v>-0.12966060575105975</v>
      </c>
    </row>
    <row r="33" spans="1:18" x14ac:dyDescent="0.35">
      <c r="A33" s="32" t="s">
        <v>126</v>
      </c>
      <c r="B33" s="33" t="s">
        <v>104</v>
      </c>
      <c r="C33" s="34">
        <f t="shared" ref="C33:O33" si="11">C31+C32</f>
        <v>146.19999999999999</v>
      </c>
      <c r="D33" s="34">
        <f t="shared" si="11"/>
        <v>145</v>
      </c>
      <c r="E33" s="34">
        <f t="shared" si="11"/>
        <v>234.10000000000002</v>
      </c>
      <c r="F33" s="34">
        <f t="shared" si="11"/>
        <v>149</v>
      </c>
      <c r="G33" s="34">
        <f t="shared" si="11"/>
        <v>149.69999999999999</v>
      </c>
      <c r="H33" s="34">
        <f t="shared" si="11"/>
        <v>150.4</v>
      </c>
      <c r="I33" s="34">
        <f t="shared" si="11"/>
        <v>150.41402150537635</v>
      </c>
      <c r="J33" s="34">
        <f t="shared" si="11"/>
        <v>150.41402150537635</v>
      </c>
      <c r="K33" s="34">
        <f t="shared" si="11"/>
        <v>150.41402150537635</v>
      </c>
      <c r="L33" s="34">
        <f t="shared" si="11"/>
        <v>150.41402150537635</v>
      </c>
      <c r="M33" s="34">
        <f t="shared" si="11"/>
        <v>150.41402150537635</v>
      </c>
      <c r="N33" s="34">
        <f t="shared" si="11"/>
        <v>150.41402150537635</v>
      </c>
      <c r="O33" s="34">
        <f t="shared" si="11"/>
        <v>1876.884129032258</v>
      </c>
      <c r="P33" s="50">
        <f>'Assumptions &amp; Budget'!O88</f>
        <v>1794.0567741935483</v>
      </c>
      <c r="Q33" s="57">
        <f t="shared" si="5"/>
        <v>-82.827354838709653</v>
      </c>
      <c r="R33" s="35">
        <f t="shared" si="6"/>
        <v>-4.6167633059406167E-2</v>
      </c>
    </row>
    <row r="34" spans="1:18" x14ac:dyDescent="0.35">
      <c r="A34" s="5" t="s">
        <v>127</v>
      </c>
      <c r="B34" s="6" t="s">
        <v>104</v>
      </c>
      <c r="C34" s="19">
        <f>IF(C$5&lt;=$C$3,'Actual vs Budget'!C35,'Assumptions &amp; Budget'!C89*IF('Assumptions &amp; Budget'!$E$57="Revenue",C12/'Assumptions &amp; Budget'!C67,IF('Assumptions &amp; Budget'!$E$57="Orders",C9/'Assumptions &amp; Budget'!C64,1))*(1+'Variance-to-Action Log'!$V$22)+IF(AND(C$7&gt;=1,C$7&lt;=$F$3),'Variance-to-Action Log'!$W$22/$F$3,0))</f>
        <v>39.5</v>
      </c>
      <c r="D34" s="19">
        <f>IF(D$5&lt;=$C$3,'Actual vs Budget'!D35,'Assumptions &amp; Budget'!D89*IF('Assumptions &amp; Budget'!$E$57="Revenue",D12/'Assumptions &amp; Budget'!D67,IF('Assumptions &amp; Budget'!$E$57="Orders",D9/'Assumptions &amp; Budget'!D64,1))*(1+'Variance-to-Action Log'!$V$22)+IF(AND(D$7&gt;=1,D$7&lt;=$F$3),'Variance-to-Action Log'!$W$22/$F$3,0))</f>
        <v>39.1</v>
      </c>
      <c r="E34" s="19">
        <f>IF(E$5&lt;=$C$3,'Actual vs Budget'!E35,'Assumptions &amp; Budget'!E89*IF('Assumptions &amp; Budget'!$E$57="Revenue",E12/'Assumptions &amp; Budget'!E67,IF('Assumptions &amp; Budget'!$E$57="Orders",E9/'Assumptions &amp; Budget'!E64,1))*(1+'Variance-to-Action Log'!$V$22)+IF(AND(E$7&gt;=1,E$7&lt;=$F$3),'Variance-to-Action Log'!$W$22/$F$3,0))</f>
        <v>39</v>
      </c>
      <c r="F34" s="19">
        <f>IF(F$5&lt;=$C$3,'Actual vs Budget'!F35,'Assumptions &amp; Budget'!F89*IF('Assumptions &amp; Budget'!$E$57="Revenue",F12/'Assumptions &amp; Budget'!F67,IF('Assumptions &amp; Budget'!$E$57="Orders",F9/'Assumptions &amp; Budget'!F64,1))*(1+'Variance-to-Action Log'!$V$22)+IF(AND(F$7&gt;=1,F$7&lt;=$F$3),'Variance-to-Action Log'!$W$22/$F$3,0))</f>
        <v>39.1</v>
      </c>
      <c r="G34" s="19">
        <f>IF(G$5&lt;=$C$3,'Actual vs Budget'!G35,'Assumptions &amp; Budget'!G89*IF('Assumptions &amp; Budget'!$E$57="Revenue",G12/'Assumptions &amp; Budget'!G67,IF('Assumptions &amp; Budget'!$E$57="Orders",G9/'Assumptions &amp; Budget'!G64,1))*(1+'Variance-to-Action Log'!$V$22)+IF(AND(G$7&gt;=1,G$7&lt;=$F$3),'Variance-to-Action Log'!$W$22/$F$3,0))</f>
        <v>39.200000000000003</v>
      </c>
      <c r="H34" s="19">
        <f>IF(H$5&lt;=$C$3,'Actual vs Budget'!H35,'Assumptions &amp; Budget'!H89*IF('Assumptions &amp; Budget'!$E$57="Revenue",H12/'Assumptions &amp; Budget'!H67,IF('Assumptions &amp; Budget'!$E$57="Orders",H9/'Assumptions &amp; Budget'!H64,1))*(1+'Variance-to-Action Log'!$V$22)+IF(AND(H$7&gt;=1,H$7&lt;=$F$3),'Variance-to-Action Log'!$W$22/$F$3,0))</f>
        <v>39.200000000000003</v>
      </c>
      <c r="I34" s="19">
        <f>IF(I$5&lt;=$C$3,'Actual vs Budget'!I35,'Assumptions &amp; Budget'!I89*IF('Assumptions &amp; Budget'!$E$57="Revenue",I12/'Assumptions &amp; Budget'!I67,IF('Assumptions &amp; Budget'!$E$57="Orders",I9/'Assumptions &amp; Budget'!I64,1))*(1+'Variance-to-Action Log'!$V$22)+IF(AND(I$7&gt;=1,I$7&lt;=$F$3),'Variance-to-Action Log'!$W$22/$F$3,0))</f>
        <v>40.622399999999992</v>
      </c>
      <c r="J34" s="19">
        <f>IF(J$5&lt;=$C$3,'Actual vs Budget'!J35,'Assumptions &amp; Budget'!J89*IF('Assumptions &amp; Budget'!$E$57="Revenue",J12/'Assumptions &amp; Budget'!J67,IF('Assumptions &amp; Budget'!$E$57="Orders",J9/'Assumptions &amp; Budget'!J64,1))*(1+'Variance-to-Action Log'!$V$22)+IF(AND(J$7&gt;=1,J$7&lt;=$F$3),'Variance-to-Action Log'!$W$22/$F$3,0))</f>
        <v>40.622399999999992</v>
      </c>
      <c r="K34" s="19">
        <f>IF(K$5&lt;=$C$3,'Actual vs Budget'!K35,'Assumptions &amp; Budget'!K89*IF('Assumptions &amp; Budget'!$E$57="Revenue",K12/'Assumptions &amp; Budget'!K67,IF('Assumptions &amp; Budget'!$E$57="Orders",K9/'Assumptions &amp; Budget'!K64,1))*(1+'Variance-to-Action Log'!$V$22)+IF(AND(K$7&gt;=1,K$7&lt;=$F$3),'Variance-to-Action Log'!$W$22/$F$3,0))</f>
        <v>40.622399999999992</v>
      </c>
      <c r="L34" s="19">
        <f>IF(L$5&lt;=$C$3,'Actual vs Budget'!L35,'Assumptions &amp; Budget'!L89*IF('Assumptions &amp; Budget'!$E$57="Revenue",L12/'Assumptions &amp; Budget'!L67,IF('Assumptions &amp; Budget'!$E$57="Orders",L9/'Assumptions &amp; Budget'!L64,1))*(1+'Variance-to-Action Log'!$V$22)+IF(AND(L$7&gt;=1,L$7&lt;=$F$3),'Variance-to-Action Log'!$W$22/$F$3,0))</f>
        <v>40.622399999999992</v>
      </c>
      <c r="M34" s="19">
        <f>IF(M$5&lt;=$C$3,'Actual vs Budget'!M35,'Assumptions &amp; Budget'!M89*IF('Assumptions &amp; Budget'!$E$57="Revenue",M12/'Assumptions &amp; Budget'!M67,IF('Assumptions &amp; Budget'!$E$57="Orders",M9/'Assumptions &amp; Budget'!M64,1))*(1+'Variance-to-Action Log'!$V$22)+IF(AND(M$7&gt;=1,M$7&lt;=$F$3),'Variance-to-Action Log'!$W$22/$F$3,0))</f>
        <v>40.622399999999992</v>
      </c>
      <c r="N34" s="19">
        <f>IF(N$5&lt;=$C$3,'Actual vs Budget'!N35,'Assumptions &amp; Budget'!N89*IF('Assumptions &amp; Budget'!$E$57="Revenue",N12/'Assumptions &amp; Budget'!N67,IF('Assumptions &amp; Budget'!$E$57="Orders",N9/'Assumptions &amp; Budget'!N64,1))*(1+'Variance-to-Action Log'!$V$22)+IF(AND(N$7&gt;=1,N$7&lt;=$F$3),'Variance-to-Action Log'!$W$22/$F$3,0))</f>
        <v>40.622399999999992</v>
      </c>
      <c r="O34" s="19">
        <f>SUM($C34:$N34)</f>
        <v>478.83439999999979</v>
      </c>
      <c r="P34" s="51">
        <f>'Assumptions &amp; Budget'!O89</f>
        <v>479.60639999999978</v>
      </c>
      <c r="Q34" s="20">
        <f t="shared" si="5"/>
        <v>0.77199999999999136</v>
      </c>
      <c r="R34" s="30">
        <f t="shared" si="6"/>
        <v>1.609653248997494E-3</v>
      </c>
    </row>
    <row r="35" spans="1:18" x14ac:dyDescent="0.35">
      <c r="A35" s="5" t="s">
        <v>128</v>
      </c>
      <c r="B35" s="6" t="s">
        <v>104</v>
      </c>
      <c r="C35" s="19">
        <f>IF(C$5&lt;=$C$3,'Actual vs Budget'!C36,'Assumptions &amp; Budget'!C90*IF('Assumptions &amp; Budget'!$E$58="Revenue",C12/'Assumptions &amp; Budget'!C67,IF('Assumptions &amp; Budget'!$E$58="Orders",C9/'Assumptions &amp; Budget'!C64,1))*(1+'Variance-to-Action Log'!$V$23)+IF(AND(C$7&gt;=1,C$7&lt;=$F$3),'Variance-to-Action Log'!$W$23/$F$3,0))</f>
        <v>59.6</v>
      </c>
      <c r="D35" s="19">
        <f>IF(D$5&lt;=$C$3,'Actual vs Budget'!D36,'Assumptions &amp; Budget'!D90*IF('Assumptions &amp; Budget'!$E$58="Revenue",D12/'Assumptions &amp; Budget'!D67,IF('Assumptions &amp; Budget'!$E$58="Orders",D9/'Assumptions &amp; Budget'!D64,1))*(1+'Variance-to-Action Log'!$V$23)+IF(AND(D$7&gt;=1,D$7&lt;=$F$3),'Variance-to-Action Log'!$W$23/$F$3,0))</f>
        <v>64</v>
      </c>
      <c r="E35" s="19">
        <f>IF(E$5&lt;=$C$3,'Actual vs Budget'!E36,'Assumptions &amp; Budget'!E90*IF('Assumptions &amp; Budget'!$E$58="Revenue",E12/'Assumptions &amp; Budget'!E67,IF('Assumptions &amp; Budget'!$E$58="Orders",E9/'Assumptions &amp; Budget'!E64,1))*(1+'Variance-to-Action Log'!$V$23)+IF(AND(E$7&gt;=1,E$7&lt;=$F$3),'Variance-to-Action Log'!$W$23/$F$3,0))</f>
        <v>62.2</v>
      </c>
      <c r="F35" s="19">
        <f>IF(F$5&lt;=$C$3,'Actual vs Budget'!F36,'Assumptions &amp; Budget'!F90*IF('Assumptions &amp; Budget'!$E$58="Revenue",F12/'Assumptions &amp; Budget'!F67,IF('Assumptions &amp; Budget'!$E$58="Orders",F9/'Assumptions &amp; Budget'!F64,1))*(1+'Variance-to-Action Log'!$V$23)+IF(AND(F$7&gt;=1,F$7&lt;=$F$3),'Variance-to-Action Log'!$W$23/$F$3,0))</f>
        <v>63.3</v>
      </c>
      <c r="G35" s="19">
        <f>IF(G$5&lt;=$C$3,'Actual vs Budget'!G36,'Assumptions &amp; Budget'!G90*IF('Assumptions &amp; Budget'!$E$58="Revenue",G12/'Assumptions &amp; Budget'!G67,IF('Assumptions &amp; Budget'!$E$58="Orders",G9/'Assumptions &amp; Budget'!G64,1))*(1+'Variance-to-Action Log'!$V$23)+IF(AND(G$7&gt;=1,G$7&lt;=$F$3),'Variance-to-Action Log'!$W$23/$F$3,0))</f>
        <v>64.2</v>
      </c>
      <c r="H35" s="19">
        <f>IF(H$5&lt;=$C$3,'Actual vs Budget'!H36,'Assumptions &amp; Budget'!H90*IF('Assumptions &amp; Budget'!$E$58="Revenue",H12/'Assumptions &amp; Budget'!H67,IF('Assumptions &amp; Budget'!$E$58="Orders",H9/'Assumptions &amp; Budget'!H64,1))*(1+'Variance-to-Action Log'!$V$23)+IF(AND(H$7&gt;=1,H$7&lt;=$F$3),'Variance-to-Action Log'!$W$23/$F$3,0))</f>
        <v>62.5</v>
      </c>
      <c r="I35" s="19">
        <f>IF(I$5&lt;=$C$3,'Actual vs Budget'!I36,'Assumptions &amp; Budget'!I90*IF('Assumptions &amp; Budget'!$E$58="Revenue",I12/'Assumptions &amp; Budget'!I67,IF('Assumptions &amp; Budget'!$E$58="Orders",I9/'Assumptions &amp; Budget'!I64,1))*(1+'Variance-to-Action Log'!$V$23)+IF(AND(I$7&gt;=1,I$7&lt;=$F$3),'Variance-to-Action Log'!$W$23/$F$3,0))</f>
        <v>62.071833333333345</v>
      </c>
      <c r="J35" s="19">
        <f>IF(J$5&lt;=$C$3,'Actual vs Budget'!J36,'Assumptions &amp; Budget'!J90*IF('Assumptions &amp; Budget'!$E$58="Revenue",J12/'Assumptions &amp; Budget'!J67,IF('Assumptions &amp; Budget'!$E$58="Orders",J9/'Assumptions &amp; Budget'!J64,1))*(1+'Variance-to-Action Log'!$V$23)+IF(AND(J$7&gt;=1,J$7&lt;=$F$3),'Variance-to-Action Log'!$W$23/$F$3,0))</f>
        <v>62.071833333333345</v>
      </c>
      <c r="K35" s="19">
        <f>IF(K$5&lt;=$C$3,'Actual vs Budget'!K36,'Assumptions &amp; Budget'!K90*IF('Assumptions &amp; Budget'!$E$58="Revenue",K12/'Assumptions &amp; Budget'!K67,IF('Assumptions &amp; Budget'!$E$58="Orders",K9/'Assumptions &amp; Budget'!K64,1))*(1+'Variance-to-Action Log'!$V$23)+IF(AND(K$7&gt;=1,K$7&lt;=$F$3),'Variance-to-Action Log'!$W$23/$F$3,0))</f>
        <v>62.071833333333345</v>
      </c>
      <c r="L35" s="19">
        <f>IF(L$5&lt;=$C$3,'Actual vs Budget'!L36,'Assumptions &amp; Budget'!L90*IF('Assumptions &amp; Budget'!$E$58="Revenue",L12/'Assumptions &amp; Budget'!L67,IF('Assumptions &amp; Budget'!$E$58="Orders",L9/'Assumptions &amp; Budget'!L64,1))*(1+'Variance-to-Action Log'!$V$23)+IF(AND(L$7&gt;=1,L$7&lt;=$F$3),'Variance-to-Action Log'!$W$23/$F$3,0))</f>
        <v>62.071833333333345</v>
      </c>
      <c r="M35" s="19">
        <f>IF(M$5&lt;=$C$3,'Actual vs Budget'!M36,'Assumptions &amp; Budget'!M90*IF('Assumptions &amp; Budget'!$E$58="Revenue",M12/'Assumptions &amp; Budget'!M67,IF('Assumptions &amp; Budget'!$E$58="Orders",M9/'Assumptions &amp; Budget'!M64,1))*(1+'Variance-to-Action Log'!$V$23)+IF(AND(M$7&gt;=1,M$7&lt;=$F$3),'Variance-to-Action Log'!$W$23/$F$3,0))</f>
        <v>62.071833333333345</v>
      </c>
      <c r="N35" s="19">
        <f>IF(N$5&lt;=$C$3,'Actual vs Budget'!N36,'Assumptions &amp; Budget'!N90*IF('Assumptions &amp; Budget'!$E$58="Revenue",N12/'Assumptions &amp; Budget'!N67,IF('Assumptions &amp; Budget'!$E$58="Orders",N9/'Assumptions &amp; Budget'!N64,1))*(1+'Variance-to-Action Log'!$V$23)+IF(AND(N$7&gt;=1,N$7&lt;=$F$3),'Variance-to-Action Log'!$W$23/$F$3,0))</f>
        <v>62.071833333333345</v>
      </c>
      <c r="O35" s="19">
        <f>SUM($C35:$N35)</f>
        <v>748.23099999999999</v>
      </c>
      <c r="P35" s="51">
        <f>'Assumptions &amp; Budget'!O90</f>
        <v>744.86200000000008</v>
      </c>
      <c r="Q35" s="20">
        <f t="shared" si="5"/>
        <v>-3.3689999999999145</v>
      </c>
      <c r="R35" s="30">
        <f t="shared" si="6"/>
        <v>-4.5229854657640126E-3</v>
      </c>
    </row>
    <row r="36" spans="1:18" x14ac:dyDescent="0.35">
      <c r="A36" s="32" t="s">
        <v>129</v>
      </c>
      <c r="B36" s="33" t="s">
        <v>104</v>
      </c>
      <c r="C36" s="34">
        <f t="shared" ref="C36:O36" si="12">C34+C35</f>
        <v>99.1</v>
      </c>
      <c r="D36" s="34">
        <f t="shared" si="12"/>
        <v>103.1</v>
      </c>
      <c r="E36" s="34">
        <f t="shared" si="12"/>
        <v>101.2</v>
      </c>
      <c r="F36" s="34">
        <f t="shared" si="12"/>
        <v>102.4</v>
      </c>
      <c r="G36" s="34">
        <f t="shared" si="12"/>
        <v>103.4</v>
      </c>
      <c r="H36" s="34">
        <f t="shared" si="12"/>
        <v>101.7</v>
      </c>
      <c r="I36" s="34">
        <f t="shared" si="12"/>
        <v>102.69423333333333</v>
      </c>
      <c r="J36" s="34">
        <f t="shared" si="12"/>
        <v>102.69423333333333</v>
      </c>
      <c r="K36" s="34">
        <f t="shared" si="12"/>
        <v>102.69423333333333</v>
      </c>
      <c r="L36" s="34">
        <f t="shared" si="12"/>
        <v>102.69423333333333</v>
      </c>
      <c r="M36" s="34">
        <f t="shared" si="12"/>
        <v>102.69423333333333</v>
      </c>
      <c r="N36" s="34">
        <f t="shared" si="12"/>
        <v>102.69423333333333</v>
      </c>
      <c r="O36" s="34">
        <f t="shared" si="12"/>
        <v>1227.0653999999997</v>
      </c>
      <c r="P36" s="50">
        <f>'Assumptions &amp; Budget'!O91</f>
        <v>1224.4683999999997</v>
      </c>
      <c r="Q36" s="57">
        <f t="shared" si="5"/>
        <v>-2.59699999999998</v>
      </c>
      <c r="R36" s="35">
        <f t="shared" si="6"/>
        <v>-2.1209203928823158E-3</v>
      </c>
    </row>
    <row r="37" spans="1:18" x14ac:dyDescent="0.35">
      <c r="A37" s="7" t="s">
        <v>130</v>
      </c>
      <c r="B37" s="8"/>
      <c r="C37" s="8"/>
      <c r="D37" s="8"/>
      <c r="E37" s="8"/>
      <c r="F37" s="8"/>
      <c r="G37" s="8"/>
      <c r="H37" s="8"/>
      <c r="I37" s="8"/>
      <c r="J37" s="8"/>
      <c r="K37" s="8"/>
      <c r="L37" s="8"/>
      <c r="M37" s="8"/>
      <c r="N37" s="8"/>
      <c r="O37" s="8"/>
      <c r="P37" s="8"/>
      <c r="Q37" s="8"/>
      <c r="R37" s="8"/>
    </row>
    <row r="38" spans="1:18" x14ac:dyDescent="0.35">
      <c r="A38" s="32" t="s">
        <v>131</v>
      </c>
      <c r="B38" s="33" t="s">
        <v>104</v>
      </c>
      <c r="C38" s="34">
        <f t="shared" ref="C38:O38" si="13">C19+C23+C27+C30+C33+C36</f>
        <v>2066.6999999999998</v>
      </c>
      <c r="D38" s="34">
        <f t="shared" si="13"/>
        <v>2035.4999999999998</v>
      </c>
      <c r="E38" s="34">
        <f t="shared" si="13"/>
        <v>2188.6999999999998</v>
      </c>
      <c r="F38" s="34">
        <f t="shared" si="13"/>
        <v>2147.3000000000002</v>
      </c>
      <c r="G38" s="34">
        <f t="shared" si="13"/>
        <v>2235.1000000000004</v>
      </c>
      <c r="H38" s="34">
        <f t="shared" si="13"/>
        <v>2396.7999999999997</v>
      </c>
      <c r="I38" s="34">
        <f t="shared" si="13"/>
        <v>2478.7398220783384</v>
      </c>
      <c r="J38" s="34">
        <f t="shared" si="13"/>
        <v>2401.0039493133522</v>
      </c>
      <c r="K38" s="34">
        <f t="shared" si="13"/>
        <v>2328.5089877665982</v>
      </c>
      <c r="L38" s="34">
        <f t="shared" si="13"/>
        <v>2251.0788511188939</v>
      </c>
      <c r="M38" s="34">
        <f t="shared" si="13"/>
        <v>2171.9630042896301</v>
      </c>
      <c r="N38" s="34">
        <f t="shared" si="13"/>
        <v>2225.8797120468362</v>
      </c>
      <c r="O38" s="34">
        <f t="shared" si="13"/>
        <v>26927.274326613653</v>
      </c>
      <c r="P38" s="50">
        <f>'Assumptions &amp; Budget'!O93</f>
        <v>25929.972143752973</v>
      </c>
      <c r="Q38" s="57">
        <f>P38-O38</f>
        <v>-997.30218286067975</v>
      </c>
      <c r="R38" s="35">
        <f>IF(P38=0,0,Q38/P38)</f>
        <v>-3.8461367306210123E-2</v>
      </c>
    </row>
    <row r="39" spans="1:18" x14ac:dyDescent="0.35">
      <c r="A39" s="32" t="s">
        <v>132</v>
      </c>
      <c r="B39" s="33" t="s">
        <v>104</v>
      </c>
      <c r="C39" s="34">
        <f t="shared" ref="C39:O39" si="14">C14-C38</f>
        <v>390.68037999999979</v>
      </c>
      <c r="D39" s="34">
        <f t="shared" si="14"/>
        <v>360.44396799999981</v>
      </c>
      <c r="E39" s="34">
        <f t="shared" si="14"/>
        <v>235.43440800000053</v>
      </c>
      <c r="F39" s="34">
        <f t="shared" si="14"/>
        <v>269.85879999999997</v>
      </c>
      <c r="G39" s="34">
        <f t="shared" si="14"/>
        <v>324.4083159999991</v>
      </c>
      <c r="H39" s="34">
        <f t="shared" si="14"/>
        <v>305.06387400000085</v>
      </c>
      <c r="I39" s="34">
        <f t="shared" si="14"/>
        <v>739.14492331063639</v>
      </c>
      <c r="J39" s="34">
        <f t="shared" si="14"/>
        <v>692.05368366074026</v>
      </c>
      <c r="K39" s="34">
        <f t="shared" si="14"/>
        <v>504.05940020441676</v>
      </c>
      <c r="L39" s="34">
        <f t="shared" si="14"/>
        <v>454.6983804381789</v>
      </c>
      <c r="M39" s="34">
        <f t="shared" si="14"/>
        <v>406.23683079952662</v>
      </c>
      <c r="N39" s="34">
        <f t="shared" si="14"/>
        <v>441.71580995583281</v>
      </c>
      <c r="O39" s="34">
        <f t="shared" si="14"/>
        <v>5123.7987743693302</v>
      </c>
      <c r="P39" s="50">
        <f>'Assumptions &amp; Budget'!O94</f>
        <v>5357.8637952640274</v>
      </c>
      <c r="Q39" s="57">
        <f>O39-P39</f>
        <v>-234.06502089469723</v>
      </c>
      <c r="R39" s="35">
        <f>IF(P39=0,0,Q39/P39)</f>
        <v>-4.3686258150420723E-2</v>
      </c>
    </row>
    <row r="40" spans="1:18" x14ac:dyDescent="0.35">
      <c r="A40" s="5" t="s">
        <v>133</v>
      </c>
      <c r="B40" s="6" t="s">
        <v>108</v>
      </c>
      <c r="C40" s="37">
        <f t="shared" ref="C40:O40" si="15">IF(C12=0,0,C39/C12)</f>
        <v>0.1095668535495601</v>
      </c>
      <c r="D40" s="37">
        <f t="shared" si="15"/>
        <v>0.10297092920071556</v>
      </c>
      <c r="E40" s="37">
        <f t="shared" si="15"/>
        <v>6.6842345150357321E-2</v>
      </c>
      <c r="F40" s="37">
        <f t="shared" si="15"/>
        <v>7.9022563903259971E-2</v>
      </c>
      <c r="G40" s="37">
        <f t="shared" si="15"/>
        <v>9.0215958665170584E-2</v>
      </c>
      <c r="H40" s="37">
        <f t="shared" si="15"/>
        <v>7.9824883626068682E-2</v>
      </c>
      <c r="I40" s="37">
        <f t="shared" si="15"/>
        <v>0.16281983663113275</v>
      </c>
      <c r="J40" s="37">
        <f t="shared" si="15"/>
        <v>0.15859882796975</v>
      </c>
      <c r="K40" s="37">
        <f t="shared" si="15"/>
        <v>0.12613903829157658</v>
      </c>
      <c r="L40" s="37">
        <f t="shared" si="15"/>
        <v>0.11911859727609764</v>
      </c>
      <c r="M40" s="37">
        <f t="shared" si="15"/>
        <v>0.11168913318461253</v>
      </c>
      <c r="N40" s="37">
        <f t="shared" si="15"/>
        <v>0.11737380005827693</v>
      </c>
      <c r="O40" s="37">
        <f t="shared" si="15"/>
        <v>0.11251730019222918</v>
      </c>
      <c r="P40" s="10">
        <f>'Assumptions &amp; Budget'!O95</f>
        <v>0.1181585721025207</v>
      </c>
      <c r="Q40" s="30">
        <f>O40-P40</f>
        <v>-5.641271910291526E-3</v>
      </c>
    </row>
    <row r="41" spans="1:18" x14ac:dyDescent="0.35">
      <c r="A41" s="5" t="s">
        <v>134</v>
      </c>
      <c r="B41" s="6" t="s">
        <v>104</v>
      </c>
      <c r="C41" s="19">
        <f>IF(C$5&lt;=$C$3,'Actual vs Budget'!C42,'Assumptions &amp; Budget'!C96)</f>
        <v>70.5</v>
      </c>
      <c r="D41" s="19">
        <f>IF(D$5&lt;=$C$3,'Actual vs Budget'!D42,'Assumptions &amp; Budget'!D96)</f>
        <v>70.3</v>
      </c>
      <c r="E41" s="19">
        <f>IF(E$5&lt;=$C$3,'Actual vs Budget'!E42,'Assumptions &amp; Budget'!E96)</f>
        <v>70.8</v>
      </c>
      <c r="F41" s="19">
        <f>IF(F$5&lt;=$C$3,'Actual vs Budget'!F42,'Assumptions &amp; Budget'!F96)</f>
        <v>69.900000000000006</v>
      </c>
      <c r="G41" s="19">
        <f>IF(G$5&lt;=$C$3,'Actual vs Budget'!G42,'Assumptions &amp; Budget'!G96)</f>
        <v>70.900000000000006</v>
      </c>
      <c r="H41" s="19">
        <f>IF(H$5&lt;=$C$3,'Actual vs Budget'!H42,'Assumptions &amp; Budget'!H96)</f>
        <v>70.8</v>
      </c>
      <c r="I41" s="19">
        <f>IF(I$5&lt;=$C$3,'Actual vs Budget'!I42,'Assumptions &amp; Budget'!I96)</f>
        <v>70.631999999999991</v>
      </c>
      <c r="J41" s="19">
        <f>IF(J$5&lt;=$C$3,'Actual vs Budget'!J42,'Assumptions &amp; Budget'!J96)</f>
        <v>70.631999999999991</v>
      </c>
      <c r="K41" s="19">
        <f>IF(K$5&lt;=$C$3,'Actual vs Budget'!K42,'Assumptions &amp; Budget'!K96)</f>
        <v>70.631999999999991</v>
      </c>
      <c r="L41" s="19">
        <f>IF(L$5&lt;=$C$3,'Actual vs Budget'!L42,'Assumptions &amp; Budget'!L96)</f>
        <v>70.631999999999991</v>
      </c>
      <c r="M41" s="19">
        <f>IF(M$5&lt;=$C$3,'Actual vs Budget'!M42,'Assumptions &amp; Budget'!M96)</f>
        <v>70.631999999999991</v>
      </c>
      <c r="N41" s="19">
        <f>IF(N$5&lt;=$C$3,'Actual vs Budget'!N42,'Assumptions &amp; Budget'!N96)</f>
        <v>70.631999999999991</v>
      </c>
      <c r="O41" s="19">
        <f>SUM($C41:$N41)</f>
        <v>846.99199999999973</v>
      </c>
      <c r="P41" s="51">
        <f>'Assumptions &amp; Budget'!O96</f>
        <v>847.58399999999972</v>
      </c>
      <c r="Q41" s="20">
        <f>P41-O41</f>
        <v>0.59199999999998454</v>
      </c>
      <c r="R41" s="30">
        <f>IF(P41=0,0,Q41/P41)</f>
        <v>6.9845584626418704E-4</v>
      </c>
    </row>
    <row r="42" spans="1:18" x14ac:dyDescent="0.35">
      <c r="A42" s="32" t="s">
        <v>135</v>
      </c>
      <c r="B42" s="33" t="s">
        <v>104</v>
      </c>
      <c r="C42" s="34">
        <f t="shared" ref="C42:O42" si="16">C39-C41</f>
        <v>320.18037999999979</v>
      </c>
      <c r="D42" s="34">
        <f t="shared" si="16"/>
        <v>290.1439679999998</v>
      </c>
      <c r="E42" s="34">
        <f t="shared" si="16"/>
        <v>164.63440800000052</v>
      </c>
      <c r="F42" s="34">
        <f t="shared" si="16"/>
        <v>199.95879999999997</v>
      </c>
      <c r="G42" s="34">
        <f t="shared" si="16"/>
        <v>253.5083159999991</v>
      </c>
      <c r="H42" s="34">
        <f t="shared" si="16"/>
        <v>234.26387400000084</v>
      </c>
      <c r="I42" s="34">
        <f t="shared" si="16"/>
        <v>668.51292331063644</v>
      </c>
      <c r="J42" s="34">
        <f t="shared" si="16"/>
        <v>621.42168366074031</v>
      </c>
      <c r="K42" s="34">
        <f t="shared" si="16"/>
        <v>433.42740020441676</v>
      </c>
      <c r="L42" s="34">
        <f t="shared" si="16"/>
        <v>384.0663804381789</v>
      </c>
      <c r="M42" s="34">
        <f t="shared" si="16"/>
        <v>335.60483079952661</v>
      </c>
      <c r="N42" s="34">
        <f t="shared" si="16"/>
        <v>371.08380995583281</v>
      </c>
      <c r="O42" s="34">
        <f t="shared" si="16"/>
        <v>4276.80677436933</v>
      </c>
      <c r="P42" s="50">
        <f>'Assumptions &amp; Budget'!O97</f>
        <v>4510.2797952640276</v>
      </c>
      <c r="Q42" s="57">
        <f>O42-P42</f>
        <v>-233.47302089469758</v>
      </c>
      <c r="R42" s="35">
        <f>IF(P42=0,0,Q42/P42)</f>
        <v>-5.1764642437449999E-2</v>
      </c>
    </row>
    <row r="43" spans="1:18" x14ac:dyDescent="0.35">
      <c r="A43" s="7" t="s">
        <v>144</v>
      </c>
      <c r="B43" s="8"/>
      <c r="C43" s="8"/>
      <c r="D43" s="8"/>
      <c r="E43" s="8"/>
      <c r="F43" s="8"/>
      <c r="G43" s="8"/>
      <c r="H43" s="8"/>
      <c r="I43" s="8"/>
      <c r="J43" s="8"/>
      <c r="K43" s="8"/>
      <c r="L43" s="8"/>
      <c r="M43" s="8"/>
      <c r="N43" s="8"/>
      <c r="O43" s="8"/>
      <c r="P43" s="8"/>
      <c r="Q43" s="8"/>
      <c r="R43" s="8"/>
    </row>
    <row r="44" spans="1:18" x14ac:dyDescent="0.35">
      <c r="A44" s="5" t="s">
        <v>145</v>
      </c>
      <c r="B44" s="6" t="s">
        <v>108</v>
      </c>
      <c r="C44" s="37">
        <f t="shared" ref="C44:O44" si="17">IF(C12=0,0,(C25+C26)/C12)</f>
        <v>0.31351660296596751</v>
      </c>
      <c r="D44" s="37">
        <f t="shared" si="17"/>
        <v>0.31276032697804351</v>
      </c>
      <c r="E44" s="37">
        <f t="shared" si="17"/>
        <v>0.32274967203148164</v>
      </c>
      <c r="F44" s="37">
        <f t="shared" si="17"/>
        <v>0.32094091442625899</v>
      </c>
      <c r="G44" s="37">
        <f t="shared" si="17"/>
        <v>0.34369619339315777</v>
      </c>
      <c r="H44" s="37">
        <f t="shared" si="17"/>
        <v>0.35955543064591344</v>
      </c>
      <c r="I44" s="37">
        <f t="shared" si="17"/>
        <v>0.30251530095548845</v>
      </c>
      <c r="J44" s="37">
        <f t="shared" si="17"/>
        <v>0.30175323976842972</v>
      </c>
      <c r="K44" s="37">
        <f t="shared" si="17"/>
        <v>0.32139821129303608</v>
      </c>
      <c r="L44" s="37">
        <f t="shared" si="17"/>
        <v>0.32139821129303608</v>
      </c>
      <c r="M44" s="37">
        <f t="shared" si="17"/>
        <v>0.32139821129303608</v>
      </c>
      <c r="N44" s="37">
        <f t="shared" si="17"/>
        <v>0.32139821129303614</v>
      </c>
      <c r="O44" s="37">
        <f t="shared" si="17"/>
        <v>0.32138549172378894</v>
      </c>
      <c r="P44" s="10">
        <f>'Assumptions &amp; Budget'!O107</f>
        <v>0.31499999999999995</v>
      </c>
      <c r="Q44" s="30">
        <f>O44-P44</f>
        <v>6.3854917237889941E-3</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A1:F53"/>
  <sheetViews>
    <sheetView showGridLines="0" zoomScale="55" zoomScaleNormal="55" workbookViewId="0">
      <selection activeCell="B2" sqref="B2"/>
    </sheetView>
  </sheetViews>
  <sheetFormatPr defaultColWidth="8.6328125" defaultRowHeight="14.5" x14ac:dyDescent="0.35"/>
  <cols>
    <col min="1" max="1" width="52" customWidth="1"/>
    <col min="2" max="2" width="3" customWidth="1"/>
    <col min="3" max="6" width="18" customWidth="1"/>
  </cols>
  <sheetData>
    <row r="1" spans="1:6" ht="18" x14ac:dyDescent="0.4">
      <c r="A1" s="23" t="s">
        <v>315</v>
      </c>
    </row>
    <row r="2" spans="1:6" x14ac:dyDescent="0.35">
      <c r="A2" s="6" t="s">
        <v>316</v>
      </c>
    </row>
    <row r="3" spans="1:6" x14ac:dyDescent="0.35">
      <c r="A3" s="5" t="s">
        <v>12</v>
      </c>
      <c r="C3" s="11">
        <f>'Assumptions &amp; Budget'!$C$6</f>
        <v>46266</v>
      </c>
    </row>
    <row r="5" spans="1:6" x14ac:dyDescent="0.35">
      <c r="A5" s="7" t="s">
        <v>317</v>
      </c>
      <c r="B5" s="8"/>
      <c r="C5" s="8"/>
      <c r="D5" s="8"/>
      <c r="E5" s="8"/>
      <c r="F5" s="8"/>
    </row>
    <row r="6" spans="1:6" ht="27.75" customHeight="1" x14ac:dyDescent="0.35">
      <c r="A6" s="17" t="s">
        <v>104</v>
      </c>
      <c r="B6" s="17"/>
      <c r="C6" s="17" t="s">
        <v>263</v>
      </c>
      <c r="D6" s="17" t="s">
        <v>264</v>
      </c>
      <c r="E6" s="17" t="s">
        <v>318</v>
      </c>
      <c r="F6" s="17" t="s">
        <v>319</v>
      </c>
    </row>
    <row r="7" spans="1:6" x14ac:dyDescent="0.35">
      <c r="A7" s="5" t="s">
        <v>103</v>
      </c>
      <c r="C7" s="51">
        <f>'Actual vs Budget'!O63</f>
        <v>21227.704309361488</v>
      </c>
      <c r="D7" s="51">
        <f>'Actual vs Budget'!O13</f>
        <v>21420.889746000001</v>
      </c>
      <c r="E7" s="18">
        <f>'Actual vs Budget'!O119</f>
        <v>193.18543663851051</v>
      </c>
      <c r="F7" s="59">
        <f>'Actual vs Budget'!P119</f>
        <v>9.100627831588699E-3</v>
      </c>
    </row>
    <row r="8" spans="1:6" x14ac:dyDescent="0.35">
      <c r="A8" s="5" t="s">
        <v>106</v>
      </c>
      <c r="C8" s="51">
        <f>'Actual vs Budget'!O65</f>
        <v>14647.115973459426</v>
      </c>
      <c r="D8" s="51">
        <f>'Actual vs Budget'!O15</f>
        <v>14955.989745999999</v>
      </c>
      <c r="E8" s="18">
        <f>'Actual vs Budget'!O121</f>
        <v>308.87377254057355</v>
      </c>
      <c r="F8" s="59">
        <f>'Actual vs Budget'!P121</f>
        <v>2.1087685323189415E-2</v>
      </c>
    </row>
    <row r="9" spans="1:6" x14ac:dyDescent="0.35">
      <c r="A9" s="5" t="s">
        <v>131</v>
      </c>
      <c r="C9" s="51">
        <f>'Actual vs Budget'!O86</f>
        <v>12348.05616831212</v>
      </c>
      <c r="D9" s="51">
        <f>'Actual vs Budget'!O39</f>
        <v>13070.099999999999</v>
      </c>
      <c r="E9" s="18">
        <f>'Actual vs Budget'!O142</f>
        <v>-722.04383168788081</v>
      </c>
      <c r="F9" s="59">
        <f>'Actual vs Budget'!P142</f>
        <v>-5.8474291163398424E-2</v>
      </c>
    </row>
    <row r="10" spans="1:6" x14ac:dyDescent="0.35">
      <c r="A10" s="12" t="s">
        <v>132</v>
      </c>
      <c r="C10" s="51">
        <f>'Actual vs Budget'!O87</f>
        <v>2299.0598051473071</v>
      </c>
      <c r="D10" s="51">
        <f>'Actual vs Budget'!O40</f>
        <v>1885.8897460000007</v>
      </c>
      <c r="E10" s="18">
        <f>'Actual vs Budget'!O143</f>
        <v>-413.17005914730726</v>
      </c>
      <c r="F10" s="59">
        <f>'Actual vs Budget'!P143</f>
        <v>-0.179712619142082</v>
      </c>
    </row>
    <row r="11" spans="1:6" x14ac:dyDescent="0.35">
      <c r="A11" s="5" t="s">
        <v>320</v>
      </c>
      <c r="C11" s="37">
        <f>IF(C7=0,0,C10/C7)</f>
        <v>0.10830468389996435</v>
      </c>
      <c r="D11" s="37">
        <f>IF(D7=0,0,D10/D7)</f>
        <v>8.8039748505412088E-2</v>
      </c>
      <c r="E11" s="30">
        <f>D11-C11</f>
        <v>-2.0264935394552264E-2</v>
      </c>
    </row>
    <row r="12" spans="1:6" x14ac:dyDescent="0.35">
      <c r="A12" s="5" t="s">
        <v>321</v>
      </c>
      <c r="E12" s="18">
        <f>'Actual vs Budget'!O173</f>
        <v>350.84982613914423</v>
      </c>
    </row>
    <row r="13" spans="1:6" x14ac:dyDescent="0.35">
      <c r="A13" s="5" t="s">
        <v>322</v>
      </c>
      <c r="E13" s="18">
        <f>'Actual vs Budget'!O174</f>
        <v>-157.66438950063309</v>
      </c>
    </row>
    <row r="15" spans="1:6" x14ac:dyDescent="0.35">
      <c r="A15" s="7" t="s">
        <v>323</v>
      </c>
      <c r="B15" s="8"/>
      <c r="C15" s="8"/>
      <c r="D15" s="8"/>
      <c r="E15" s="8"/>
      <c r="F15" s="8"/>
    </row>
    <row r="16" spans="1:6" ht="27.75" customHeight="1" x14ac:dyDescent="0.35">
      <c r="A16" s="17" t="s">
        <v>104</v>
      </c>
      <c r="B16" s="17"/>
      <c r="C16" s="17" t="s">
        <v>235</v>
      </c>
      <c r="D16" s="17" t="s">
        <v>311</v>
      </c>
      <c r="E16" s="17" t="s">
        <v>318</v>
      </c>
      <c r="F16" s="17" t="s">
        <v>319</v>
      </c>
    </row>
    <row r="17" spans="1:6" x14ac:dyDescent="0.35">
      <c r="A17" s="5" t="s">
        <v>103</v>
      </c>
      <c r="C17" s="51">
        <f>'Rolling Forecast'!P12</f>
        <v>45344.689766691306</v>
      </c>
      <c r="D17" s="51">
        <f>'Rolling Forecast'!O12</f>
        <v>45537.875203329815</v>
      </c>
      <c r="E17" s="18">
        <f>'Rolling Forecast'!Q12</f>
        <v>193.18543663850869</v>
      </c>
      <c r="F17" s="59">
        <f>'Rolling Forecast'!R12</f>
        <v>4.2603761902990514E-3</v>
      </c>
    </row>
    <row r="18" spans="1:6" x14ac:dyDescent="0.35">
      <c r="A18" s="5" t="s">
        <v>106</v>
      </c>
      <c r="C18" s="51">
        <f>'Rolling Forecast'!P14</f>
        <v>31287.835939017001</v>
      </c>
      <c r="D18" s="51">
        <f>'Rolling Forecast'!O14</f>
        <v>32051.073100982983</v>
      </c>
      <c r="E18" s="18">
        <f>'Rolling Forecast'!Q14</f>
        <v>763.23716196598252</v>
      </c>
      <c r="F18" s="59">
        <f>'Rolling Forecast'!R14</f>
        <v>2.4394054080748989E-2</v>
      </c>
    </row>
    <row r="19" spans="1:6" x14ac:dyDescent="0.35">
      <c r="A19" s="5" t="s">
        <v>132</v>
      </c>
      <c r="C19" s="51">
        <f>'Rolling Forecast'!P39</f>
        <v>5357.8637952640274</v>
      </c>
      <c r="D19" s="51">
        <f>'Rolling Forecast'!O39</f>
        <v>5123.7987743693302</v>
      </c>
      <c r="E19" s="18">
        <f>'Rolling Forecast'!Q39</f>
        <v>-234.06502089469723</v>
      </c>
      <c r="F19" s="59">
        <f>'Rolling Forecast'!R39</f>
        <v>-4.3686258150420723E-2</v>
      </c>
    </row>
    <row r="20" spans="1:6" x14ac:dyDescent="0.35">
      <c r="A20" s="5" t="s">
        <v>320</v>
      </c>
      <c r="C20" s="10">
        <f>'Rolling Forecast'!P40</f>
        <v>0.1181585721025207</v>
      </c>
      <c r="D20" s="10">
        <f>'Rolling Forecast'!O40</f>
        <v>0.11251730019222918</v>
      </c>
      <c r="E20" s="30">
        <f>D20-C20</f>
        <v>-5.641271910291526E-3</v>
      </c>
    </row>
    <row r="21" spans="1:6" x14ac:dyDescent="0.35">
      <c r="A21" s="5" t="s">
        <v>324</v>
      </c>
      <c r="C21" s="9">
        <f>C17/100</f>
        <v>453.44689766691306</v>
      </c>
      <c r="D21" s="9">
        <f>D17/100</f>
        <v>455.37875203329816</v>
      </c>
    </row>
    <row r="23" spans="1:6" x14ac:dyDescent="0.35">
      <c r="A23" s="7" t="s">
        <v>325</v>
      </c>
      <c r="B23" s="8"/>
      <c r="C23" s="8"/>
      <c r="D23" s="8"/>
      <c r="E23" s="8"/>
      <c r="F23" s="8"/>
    </row>
    <row r="24" spans="1:6" x14ac:dyDescent="0.35">
      <c r="A24" s="5" t="s">
        <v>295</v>
      </c>
      <c r="C24" s="55">
        <f>'Variance-to-Action Log'!C27</f>
        <v>8</v>
      </c>
    </row>
    <row r="25" spans="1:6" x14ac:dyDescent="0.35">
      <c r="A25" s="5" t="s">
        <v>67</v>
      </c>
      <c r="C25" s="55">
        <f>'Variance-to-Action Log'!C28</f>
        <v>1</v>
      </c>
    </row>
    <row r="26" spans="1:6" x14ac:dyDescent="0.35">
      <c r="A26" s="5" t="s">
        <v>68</v>
      </c>
      <c r="C26" s="55">
        <f>'Variance-to-Action Log'!C29</f>
        <v>2</v>
      </c>
    </row>
    <row r="27" spans="1:6" x14ac:dyDescent="0.35">
      <c r="A27" s="5" t="s">
        <v>69</v>
      </c>
      <c r="C27" s="55">
        <f>'Variance-to-Action Log'!C30</f>
        <v>5</v>
      </c>
    </row>
    <row r="28" spans="1:6" x14ac:dyDescent="0.35">
      <c r="A28" s="5" t="s">
        <v>299</v>
      </c>
      <c r="C28" s="55">
        <f>'Variance-to-Action Log'!C31</f>
        <v>0</v>
      </c>
    </row>
    <row r="29" spans="1:6" x14ac:dyDescent="0.35">
      <c r="A29" s="5" t="s">
        <v>300</v>
      </c>
      <c r="C29" s="55">
        <f>'Variance-to-Action Log'!C32</f>
        <v>4</v>
      </c>
    </row>
    <row r="30" spans="1:6" x14ac:dyDescent="0.35">
      <c r="A30" s="5" t="s">
        <v>301</v>
      </c>
      <c r="C30" s="55">
        <f>'Variance-to-Action Log'!C33</f>
        <v>1</v>
      </c>
    </row>
    <row r="31" spans="1:6" x14ac:dyDescent="0.35">
      <c r="A31" s="5" t="s">
        <v>302</v>
      </c>
      <c r="C31" s="55">
        <f>'Variance-to-Action Log'!C34</f>
        <v>3</v>
      </c>
    </row>
    <row r="32" spans="1:6" x14ac:dyDescent="0.35">
      <c r="A32" s="5" t="s">
        <v>303</v>
      </c>
      <c r="C32" s="55">
        <f>'Variance-to-Action Log'!C35</f>
        <v>1</v>
      </c>
    </row>
    <row r="34" spans="1:6" x14ac:dyDescent="0.35">
      <c r="A34" s="7" t="s">
        <v>326</v>
      </c>
      <c r="B34" s="8"/>
      <c r="C34" s="8"/>
      <c r="D34" s="8"/>
      <c r="E34" s="8"/>
      <c r="F34" s="8"/>
    </row>
    <row r="35" spans="1:6" ht="27.75" customHeight="1" x14ac:dyDescent="0.35">
      <c r="A35" s="17" t="s">
        <v>89</v>
      </c>
      <c r="B35" s="17"/>
      <c r="C35" s="17" t="s">
        <v>327</v>
      </c>
      <c r="D35" s="17" t="s">
        <v>64</v>
      </c>
      <c r="E35" s="17" t="s">
        <v>71</v>
      </c>
      <c r="F35" s="17"/>
    </row>
    <row r="36" spans="1:6" x14ac:dyDescent="0.35">
      <c r="A36" s="5" t="str">
        <f>IF(SMALL('Variance-to-Action Log'!$X$8:$X$23,1)&lt;0,INDEX('Variance-to-Action Log'!$A$8:$A$23,MATCH(SMALL('Variance-to-Action Log'!$X$8:$X$23,1),'Variance-to-Action Log'!$X$8:$X$23,0)),"–")</f>
        <v>Marketing – brand &amp; influencer</v>
      </c>
      <c r="C36" s="20">
        <f>IF(SMALL('Variance-to-Action Log'!$X$8:$X$23,1)&lt;0,SMALL('Variance-to-Action Log'!$X$8:$X$23,1),0)</f>
        <v>-197.32956906385095</v>
      </c>
      <c r="D36" s="5" t="str">
        <f>IF(SMALL('Variance-to-Action Log'!$X$8:$X$23,1)&lt;0,INDEX('Variance-to-Action Log'!$O$8:$O$23,MATCH(SMALL('Variance-to-Action Log'!$X$8:$X$23,1),'Variance-to-Action Log'!$X$8:$X$23,0)),"–")</f>
        <v>Structural</v>
      </c>
      <c r="E36" s="5" t="str">
        <f>IF(SMALL('Variance-to-Action Log'!$X$8:$X$23,1)&lt;0,INDEX('Variance-to-Action Log'!$T$8:$T$23,MATCH(SMALL('Variance-to-Action Log'!$X$8:$X$23,1),'Variance-to-Action Log'!$X$8:$X$23,0)),"–")</f>
        <v>Cut spend</v>
      </c>
    </row>
    <row r="37" spans="1:6" x14ac:dyDescent="0.35">
      <c r="A37" s="5" t="str">
        <f>IF(SMALL('Variance-to-Action Log'!$X$8:$X$23,2)&lt;0,INDEX('Variance-to-Action Log'!$A$8:$A$23,MATCH(SMALL('Variance-to-Action Log'!$X$8:$X$23,2),'Variance-to-Action Log'!$X$8:$X$23,0)),"–")</f>
        <v>Marketing – performance marketing</v>
      </c>
      <c r="C37" s="20">
        <f>IF(SMALL('Variance-to-Action Log'!$X$8:$X$23,2)&lt;0,SMALL('Variance-to-Action Log'!$X$8:$X$23,2),0)</f>
        <v>-192.53861691269469</v>
      </c>
      <c r="D37" s="5" t="str">
        <f>IF(SMALL('Variance-to-Action Log'!$X$8:$X$23,2)&lt;0,INDEX('Variance-to-Action Log'!$O$8:$O$23,MATCH(SMALL('Variance-to-Action Log'!$X$8:$X$23,2),'Variance-to-Action Log'!$X$8:$X$23,0)),"–")</f>
        <v>Timing</v>
      </c>
      <c r="E37" s="5" t="str">
        <f>IF(SMALL('Variance-to-Action Log'!$X$8:$X$23,2)&lt;0,INDEX('Variance-to-Action Log'!$T$8:$T$23,MATCH(SMALL('Variance-to-Action Log'!$X$8:$X$23,2),'Variance-to-Action Log'!$X$8:$X$23,0)),"–")</f>
        <v>Ignore</v>
      </c>
    </row>
    <row r="38" spans="1:6" x14ac:dyDescent="0.35">
      <c r="A38" s="5" t="str">
        <f>IF(SMALL('Variance-to-Action Log'!$X$8:$X$23,3)&lt;0,INDEX('Variance-to-Action Log'!$A$8:$A$23,MATCH(SMALL('Variance-to-Action Log'!$X$8:$X$23,3),'Variance-to-Action Log'!$X$8:$X$23,0)),"–")</f>
        <v>Operations – fulfilment &amp; logistics</v>
      </c>
      <c r="C38" s="20">
        <f>IF(SMALL('Variance-to-Action Log'!$X$8:$X$23,3)&lt;0,SMALL('Variance-to-Action Log'!$X$8:$X$23,3),0)</f>
        <v>-95.344748828554316</v>
      </c>
      <c r="D38" s="5" t="str">
        <f>IF(SMALL('Variance-to-Action Log'!$X$8:$X$23,3)&lt;0,INDEX('Variance-to-Action Log'!$O$8:$O$23,MATCH(SMALL('Variance-to-Action Log'!$X$8:$X$23,3),'Variance-to-Action Log'!$X$8:$X$23,0)),"–")</f>
        <v>Structural</v>
      </c>
      <c r="E38" s="5" t="str">
        <f>IF(SMALL('Variance-to-Action Log'!$X$8:$X$23,3)&lt;0,INDEX('Variance-to-Action Log'!$T$8:$T$23,MATCH(SMALL('Variance-to-Action Log'!$X$8:$X$23,3),'Variance-to-Action Log'!$X$8:$X$23,0)),"–")</f>
        <v>Reforecast</v>
      </c>
    </row>
    <row r="39" spans="1:6" x14ac:dyDescent="0.35">
      <c r="A39" s="5" t="str">
        <f>IF(SMALL('Variance-to-Action Log'!$X$8:$X$23,4)&lt;0,INDEX('Variance-to-Action Log'!$A$8:$A$23,MATCH(SMALL('Variance-to-Action Log'!$X$8:$X$23,4),'Variance-to-Action Log'!$X$8:$X$23,0)),"–")</f>
        <v>IT – software, cloud &amp; other</v>
      </c>
      <c r="C39" s="20">
        <f>IF(SMALL('Variance-to-Action Log'!$X$8:$X$23,4)&lt;0,SMALL('Variance-to-Action Log'!$X$8:$X$23,4),0)</f>
        <v>-81.235999999999905</v>
      </c>
      <c r="D39" s="5" t="str">
        <f>IF(SMALL('Variance-to-Action Log'!$X$8:$X$23,4)&lt;0,INDEX('Variance-to-Action Log'!$O$8:$O$23,MATCH(SMALL('Variance-to-Action Log'!$X$8:$X$23,4),'Variance-to-Action Log'!$X$8:$X$23,0)),"–")</f>
        <v>One-off</v>
      </c>
      <c r="E39" s="5" t="str">
        <f>IF(SMALL('Variance-to-Action Log'!$X$8:$X$23,4)&lt;0,INDEX('Variance-to-Action Log'!$T$8:$T$23,MATCH(SMALL('Variance-to-Action Log'!$X$8:$X$23,4),'Variance-to-Action Log'!$X$8:$X$23,0)),"–")</f>
        <v>Ignore</v>
      </c>
    </row>
    <row r="40" spans="1:6" x14ac:dyDescent="0.35">
      <c r="A40" s="5" t="str">
        <f>IF(SMALL('Variance-to-Action Log'!$X$8:$X$23,5)&lt;0,INDEX('Variance-to-Action Log'!$A$8:$A$23,MATCH(SMALL('Variance-to-Action Log'!$X$8:$X$23,5),'Variance-to-Action Log'!$X$8:$X$23,0)),"–")</f>
        <v>Operations – warehouse, QC &amp; other</v>
      </c>
      <c r="C40" s="20">
        <f>IF(SMALL('Variance-to-Action Log'!$X$8:$X$23,5)&lt;0,SMALL('Variance-to-Action Log'!$X$8:$X$23,5),0)</f>
        <v>-72.694999999999993</v>
      </c>
      <c r="D40" s="5" t="str">
        <f>IF(SMALL('Variance-to-Action Log'!$X$8:$X$23,5)&lt;0,INDEX('Variance-to-Action Log'!$O$8:$O$23,MATCH(SMALL('Variance-to-Action Log'!$X$8:$X$23,5),'Variance-to-Action Log'!$X$8:$X$23,0)),"–")</f>
        <v>One-off</v>
      </c>
      <c r="E40" s="5" t="str">
        <f>IF(SMALL('Variance-to-Action Log'!$X$8:$X$23,5)&lt;0,INDEX('Variance-to-Action Log'!$T$8:$T$23,MATCH(SMALL('Variance-to-Action Log'!$X$8:$X$23,5),'Variance-to-Action Log'!$X$8:$X$23,0)),"–")</f>
        <v>Ignore</v>
      </c>
    </row>
    <row r="42" spans="1:6" x14ac:dyDescent="0.35">
      <c r="A42" s="7" t="s">
        <v>328</v>
      </c>
      <c r="B42" s="8"/>
      <c r="C42" s="8"/>
      <c r="D42" s="8"/>
      <c r="E42" s="8"/>
      <c r="F42" s="8"/>
    </row>
    <row r="43" spans="1:6" x14ac:dyDescent="0.35">
      <c r="A43" s="5" t="s">
        <v>329</v>
      </c>
      <c r="C43" s="5" t="str">
        <f>IF(ABS('Actual vs Budget'!O176)&lt;0.01,"OK","CHECK")</f>
        <v>OK</v>
      </c>
    </row>
    <row r="44" spans="1:6" x14ac:dyDescent="0.35">
      <c r="A44" s="5" t="s">
        <v>330</v>
      </c>
      <c r="C44" s="5" t="str">
        <f>IF('Variance-to-Action Log'!C31=0,"OK","CHECK")</f>
        <v>OK</v>
      </c>
    </row>
    <row r="45" spans="1:6" x14ac:dyDescent="0.35">
      <c r="A45" s="5" t="s">
        <v>331</v>
      </c>
      <c r="C45" s="5" t="str">
        <f>IF('Variance-to-Action Log'!C36=0,"OK","CHECK")</f>
        <v>OK</v>
      </c>
    </row>
    <row r="46" spans="1:6" x14ac:dyDescent="0.35">
      <c r="A46" s="5" t="s">
        <v>332</v>
      </c>
      <c r="C46" s="5" t="str">
        <f>IF(AND('Historical Data'!AB40&gt;=0.09,'Historical Data'!AB40&lt;=0.11),"OK","CHECK")</f>
        <v>OK</v>
      </c>
    </row>
    <row r="48" spans="1:6" x14ac:dyDescent="0.35">
      <c r="A48" s="7" t="s">
        <v>333</v>
      </c>
      <c r="B48" s="8"/>
      <c r="C48" s="8"/>
      <c r="D48" s="8"/>
      <c r="E48" s="8"/>
      <c r="F48" s="8"/>
    </row>
    <row r="49" spans="1:6" ht="30" customHeight="1" x14ac:dyDescent="0.35">
      <c r="A49" s="63" t="s">
        <v>334</v>
      </c>
      <c r="B49" s="63"/>
      <c r="C49" s="63"/>
      <c r="D49" s="63"/>
      <c r="E49" s="63"/>
      <c r="F49" s="63"/>
    </row>
    <row r="50" spans="1:6" ht="30" customHeight="1" x14ac:dyDescent="0.35">
      <c r="A50" s="63" t="s">
        <v>335</v>
      </c>
      <c r="B50" s="63"/>
      <c r="C50" s="63"/>
      <c r="D50" s="63"/>
      <c r="E50" s="63"/>
      <c r="F50" s="63"/>
    </row>
    <row r="51" spans="1:6" ht="60" customHeight="1" x14ac:dyDescent="0.35">
      <c r="A51" s="63" t="s">
        <v>336</v>
      </c>
      <c r="B51" s="63"/>
      <c r="C51" s="63"/>
      <c r="D51" s="63"/>
      <c r="E51" s="63"/>
      <c r="F51" s="63"/>
    </row>
    <row r="52" spans="1:6" ht="30" customHeight="1" x14ac:dyDescent="0.35">
      <c r="A52" s="63" t="s">
        <v>337</v>
      </c>
      <c r="B52" s="63"/>
      <c r="C52" s="63"/>
      <c r="D52" s="63"/>
      <c r="E52" s="63"/>
      <c r="F52" s="63"/>
    </row>
    <row r="53" spans="1:6" ht="30" customHeight="1" x14ac:dyDescent="0.35">
      <c r="A53" s="63" t="s">
        <v>338</v>
      </c>
      <c r="B53" s="63"/>
      <c r="C53" s="63"/>
      <c r="D53" s="63"/>
      <c r="E53" s="63"/>
      <c r="F53" s="63"/>
    </row>
  </sheetData>
  <mergeCells count="5">
    <mergeCell ref="A49:F49"/>
    <mergeCell ref="A50:F50"/>
    <mergeCell ref="A51:F51"/>
    <mergeCell ref="A52:F52"/>
    <mergeCell ref="A53:F53"/>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A1:F35"/>
  <sheetViews>
    <sheetView showGridLines="0" tabSelected="1" topLeftCell="A3" zoomScaleNormal="100" workbookViewId="0">
      <selection activeCell="G8" sqref="G8"/>
    </sheetView>
  </sheetViews>
  <sheetFormatPr defaultColWidth="8.6328125" defaultRowHeight="14.5" x14ac:dyDescent="0.35"/>
  <cols>
    <col min="1" max="1" width="40" customWidth="1"/>
    <col min="2" max="6" width="22" customWidth="1"/>
  </cols>
  <sheetData>
    <row r="1" spans="1:6" ht="18" x14ac:dyDescent="0.4">
      <c r="A1" s="23" t="s">
        <v>339</v>
      </c>
    </row>
    <row r="3" spans="1:6" x14ac:dyDescent="0.35">
      <c r="A3" s="7" t="s">
        <v>340</v>
      </c>
      <c r="B3" s="8"/>
      <c r="C3" s="8"/>
      <c r="D3" s="8"/>
      <c r="E3" s="8"/>
      <c r="F3" s="8"/>
    </row>
    <row r="4" spans="1:6" ht="45" customHeight="1" x14ac:dyDescent="0.35">
      <c r="A4" s="63" t="s">
        <v>341</v>
      </c>
      <c r="B4" s="63"/>
      <c r="C4" s="63"/>
      <c r="D4" s="63"/>
      <c r="E4" s="63"/>
      <c r="F4" s="63"/>
    </row>
    <row r="5" spans="1:6" x14ac:dyDescent="0.35">
      <c r="A5" s="7" t="s">
        <v>342</v>
      </c>
      <c r="B5" s="8"/>
      <c r="C5" s="8"/>
      <c r="D5" s="8"/>
      <c r="E5" s="8"/>
      <c r="F5" s="8"/>
    </row>
    <row r="6" spans="1:6" ht="30" customHeight="1" x14ac:dyDescent="0.35">
      <c r="A6" s="63" t="s">
        <v>343</v>
      </c>
      <c r="B6" s="63"/>
      <c r="C6" s="63"/>
      <c r="D6" s="63"/>
      <c r="E6" s="63"/>
      <c r="F6" s="63"/>
    </row>
    <row r="7" spans="1:6" x14ac:dyDescent="0.35">
      <c r="A7" s="7" t="s">
        <v>344</v>
      </c>
      <c r="B7" s="8"/>
      <c r="C7" s="8"/>
      <c r="D7" s="8"/>
      <c r="E7" s="8"/>
      <c r="F7" s="8"/>
    </row>
    <row r="8" spans="1:6" ht="60" customHeight="1" x14ac:dyDescent="0.35">
      <c r="A8" s="63" t="s">
        <v>345</v>
      </c>
      <c r="B8" s="63"/>
      <c r="C8" s="63"/>
      <c r="D8" s="63"/>
      <c r="E8" s="63"/>
      <c r="F8" s="63"/>
    </row>
    <row r="9" spans="1:6" ht="49" customHeight="1" x14ac:dyDescent="0.35">
      <c r="A9" s="63" t="s">
        <v>373</v>
      </c>
      <c r="B9" s="63"/>
      <c r="C9" s="63"/>
      <c r="D9" s="63"/>
      <c r="E9" s="63"/>
      <c r="F9" s="63"/>
    </row>
    <row r="10" spans="1:6" x14ac:dyDescent="0.35">
      <c r="A10" s="7" t="s">
        <v>346</v>
      </c>
      <c r="B10" s="8"/>
      <c r="C10" s="8"/>
      <c r="D10" s="8"/>
      <c r="E10" s="8"/>
      <c r="F10" s="8"/>
    </row>
    <row r="11" spans="1:6" ht="26" x14ac:dyDescent="0.35">
      <c r="A11" s="17" t="s">
        <v>347</v>
      </c>
      <c r="B11" s="17" t="s">
        <v>348</v>
      </c>
      <c r="C11" s="17" t="s">
        <v>349</v>
      </c>
      <c r="D11" s="17" t="s">
        <v>350</v>
      </c>
    </row>
    <row r="12" spans="1:6" x14ac:dyDescent="0.35">
      <c r="A12" s="5" t="s">
        <v>351</v>
      </c>
      <c r="B12" s="62">
        <v>0.70099999999999996</v>
      </c>
      <c r="C12" s="10">
        <f>'Historical Data'!AB15</f>
        <v>0.6894021789117375</v>
      </c>
      <c r="D12" s="10">
        <f>'Historical Data'!AA15</f>
        <v>0.67041088931317261</v>
      </c>
    </row>
    <row r="13" spans="1:6" x14ac:dyDescent="0.35">
      <c r="A13" s="5" t="s">
        <v>352</v>
      </c>
      <c r="B13" s="62">
        <v>0.33</v>
      </c>
      <c r="C13" s="10">
        <f>'Historical Data'!AB52</f>
        <v>0.33010784125723353</v>
      </c>
      <c r="D13" s="10">
        <f>'Historical Data'!AA52</f>
        <v>0.33882108121092602</v>
      </c>
    </row>
    <row r="14" spans="1:6" x14ac:dyDescent="0.35">
      <c r="A14" s="5" t="s">
        <v>146</v>
      </c>
      <c r="B14" s="62">
        <v>0.11</v>
      </c>
      <c r="C14" s="10">
        <f>'Historical Data'!AB53</f>
        <v>0.1101226138420051</v>
      </c>
      <c r="D14" s="10">
        <f>'Historical Data'!AA53</f>
        <v>0.11111506567086961</v>
      </c>
    </row>
    <row r="15" spans="1:6" x14ac:dyDescent="0.35">
      <c r="A15" s="5" t="s">
        <v>353</v>
      </c>
      <c r="B15" s="62">
        <v>7.5999999999999998E-2</v>
      </c>
      <c r="C15" s="37">
        <f>'Historical Data'!AB21/'Historical Data'!AB12</f>
        <v>7.5097577633998297E-2</v>
      </c>
      <c r="D15" s="37">
        <f>'Historical Data'!AA21/'Historical Data'!AA12</f>
        <v>7.213895208044821E-2</v>
      </c>
    </row>
    <row r="16" spans="1:6" x14ac:dyDescent="0.35">
      <c r="A16" s="5" t="s">
        <v>354</v>
      </c>
      <c r="B16" s="62">
        <v>1.9E-2</v>
      </c>
      <c r="C16" s="37">
        <f>'Historical Data'!AB41/'Historical Data'!AB12</f>
        <v>1.9620020282686459E-2</v>
      </c>
      <c r="D16" s="37">
        <f>'Historical Data'!AA41/'Historical Data'!AA12</f>
        <v>2.0607716868476206E-2</v>
      </c>
    </row>
    <row r="17" spans="1:6" x14ac:dyDescent="0.35">
      <c r="A17" s="5" t="s">
        <v>320</v>
      </c>
      <c r="B17" s="62">
        <v>9.9000000000000005E-2</v>
      </c>
      <c r="C17" s="10">
        <f>'Historical Data'!AB40</f>
        <v>0.10024406985481346</v>
      </c>
      <c r="D17" s="10">
        <f>'Historical Data'!AA40</f>
        <v>6.3534229281896462E-2</v>
      </c>
    </row>
    <row r="18" spans="1:6" x14ac:dyDescent="0.35">
      <c r="A18" s="7" t="s">
        <v>355</v>
      </c>
      <c r="B18" s="8"/>
      <c r="C18" s="8"/>
      <c r="D18" s="8"/>
      <c r="E18" s="8"/>
      <c r="F18" s="8"/>
    </row>
    <row r="19" spans="1:6" ht="45" customHeight="1" x14ac:dyDescent="0.35">
      <c r="A19" s="63" t="s">
        <v>356</v>
      </c>
      <c r="B19" s="63"/>
      <c r="C19" s="63"/>
      <c r="D19" s="63"/>
      <c r="E19" s="63"/>
      <c r="F19" s="63"/>
    </row>
    <row r="20" spans="1:6" ht="30" customHeight="1" x14ac:dyDescent="0.35">
      <c r="A20" s="63" t="s">
        <v>357</v>
      </c>
      <c r="B20" s="63"/>
      <c r="C20" s="63"/>
      <c r="D20" s="63"/>
      <c r="E20" s="63"/>
      <c r="F20" s="63"/>
    </row>
    <row r="21" spans="1:6" ht="30" customHeight="1" x14ac:dyDescent="0.35">
      <c r="A21" s="63" t="s">
        <v>358</v>
      </c>
      <c r="B21" s="63"/>
      <c r="C21" s="63"/>
      <c r="D21" s="63"/>
      <c r="E21" s="63"/>
      <c r="F21" s="63"/>
    </row>
    <row r="22" spans="1:6" x14ac:dyDescent="0.35">
      <c r="A22" s="7" t="s">
        <v>359</v>
      </c>
      <c r="B22" s="8"/>
      <c r="C22" s="8"/>
      <c r="D22" s="8"/>
      <c r="E22" s="8"/>
      <c r="F22" s="8"/>
    </row>
    <row r="23" spans="1:6" ht="30" customHeight="1" x14ac:dyDescent="0.35">
      <c r="A23" s="63" t="s">
        <v>360</v>
      </c>
      <c r="B23" s="63"/>
      <c r="C23" s="63"/>
      <c r="D23" s="63"/>
      <c r="E23" s="63"/>
      <c r="F23" s="63"/>
    </row>
    <row r="24" spans="1:6" ht="30" customHeight="1" x14ac:dyDescent="0.35">
      <c r="A24" s="63" t="s">
        <v>361</v>
      </c>
      <c r="B24" s="63"/>
      <c r="C24" s="63"/>
      <c r="D24" s="63"/>
      <c r="E24" s="63"/>
      <c r="F24" s="63"/>
    </row>
    <row r="25" spans="1:6" ht="30" customHeight="1" x14ac:dyDescent="0.35">
      <c r="A25" s="63" t="s">
        <v>362</v>
      </c>
      <c r="B25" s="63"/>
      <c r="C25" s="63"/>
      <c r="D25" s="63"/>
      <c r="E25" s="63"/>
      <c r="F25" s="63"/>
    </row>
    <row r="26" spans="1:6" x14ac:dyDescent="0.35">
      <c r="A26" s="7" t="s">
        <v>363</v>
      </c>
      <c r="B26" s="8"/>
      <c r="C26" s="8"/>
      <c r="D26" s="8"/>
      <c r="E26" s="8"/>
      <c r="F26" s="8"/>
    </row>
    <row r="27" spans="1:6" ht="45" customHeight="1" x14ac:dyDescent="0.35">
      <c r="A27" s="63" t="s">
        <v>364</v>
      </c>
      <c r="B27" s="63"/>
      <c r="C27" s="63"/>
      <c r="D27" s="63"/>
      <c r="E27" s="63"/>
      <c r="F27" s="63"/>
    </row>
    <row r="28" spans="1:6" x14ac:dyDescent="0.35">
      <c r="A28" s="7" t="s">
        <v>365</v>
      </c>
      <c r="B28" s="8"/>
      <c r="C28" s="8"/>
      <c r="D28" s="8"/>
      <c r="E28" s="8"/>
      <c r="F28" s="8"/>
    </row>
    <row r="29" spans="1:6" ht="45" customHeight="1" x14ac:dyDescent="0.35">
      <c r="A29" s="63" t="s">
        <v>366</v>
      </c>
      <c r="B29" s="63"/>
      <c r="C29" s="63"/>
      <c r="D29" s="63"/>
      <c r="E29" s="63"/>
      <c r="F29" s="63"/>
    </row>
    <row r="30" spans="1:6" x14ac:dyDescent="0.35">
      <c r="A30" s="7" t="s">
        <v>367</v>
      </c>
      <c r="B30" s="8"/>
      <c r="C30" s="8"/>
      <c r="D30" s="8"/>
      <c r="E30" s="8"/>
      <c r="F30" s="8"/>
    </row>
    <row r="31" spans="1:6" ht="45" customHeight="1" x14ac:dyDescent="0.35">
      <c r="A31" s="63" t="s">
        <v>368</v>
      </c>
      <c r="B31" s="63"/>
      <c r="C31" s="63"/>
      <c r="D31" s="63"/>
      <c r="E31" s="63"/>
      <c r="F31" s="63"/>
    </row>
    <row r="32" spans="1:6" x14ac:dyDescent="0.35">
      <c r="A32" s="7" t="s">
        <v>369</v>
      </c>
      <c r="B32" s="8"/>
      <c r="C32" s="8"/>
      <c r="D32" s="8"/>
      <c r="E32" s="8"/>
      <c r="F32" s="8"/>
    </row>
    <row r="33" spans="1:6" ht="45" customHeight="1" x14ac:dyDescent="0.35">
      <c r="A33" s="63" t="s">
        <v>370</v>
      </c>
      <c r="B33" s="63"/>
      <c r="C33" s="63"/>
      <c r="D33" s="63"/>
      <c r="E33" s="63"/>
      <c r="F33" s="63"/>
    </row>
    <row r="34" spans="1:6" x14ac:dyDescent="0.35">
      <c r="A34" s="7" t="s">
        <v>371</v>
      </c>
      <c r="B34" s="8"/>
      <c r="C34" s="8"/>
      <c r="D34" s="8"/>
      <c r="E34" s="8"/>
      <c r="F34" s="8"/>
    </row>
    <row r="35" spans="1:6" ht="45" customHeight="1" x14ac:dyDescent="0.35">
      <c r="A35" s="63" t="s">
        <v>372</v>
      </c>
      <c r="B35" s="63"/>
      <c r="C35" s="63"/>
      <c r="D35" s="63"/>
      <c r="E35" s="63"/>
      <c r="F35" s="63"/>
    </row>
  </sheetData>
  <mergeCells count="15">
    <mergeCell ref="A4:F4"/>
    <mergeCell ref="A6:F6"/>
    <mergeCell ref="A8:F8"/>
    <mergeCell ref="A9:F9"/>
    <mergeCell ref="A19:F19"/>
    <mergeCell ref="A20:F20"/>
    <mergeCell ref="A21:F21"/>
    <mergeCell ref="A23:F23"/>
    <mergeCell ref="A24:F24"/>
    <mergeCell ref="A25:F25"/>
    <mergeCell ref="A27:F27"/>
    <mergeCell ref="A29:F29"/>
    <mergeCell ref="A31:F31"/>
    <mergeCell ref="A33:F33"/>
    <mergeCell ref="A35:F35"/>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Executive Dashboard</vt:lpstr>
      <vt:lpstr>Historical Data</vt:lpstr>
      <vt:lpstr>Assumptions &amp; Budget</vt:lpstr>
      <vt:lpstr>Actual vs Budget</vt:lpstr>
      <vt:lpstr>Variance-to-Action Log</vt:lpstr>
      <vt:lpstr>Rolling Forecast</vt:lpstr>
      <vt:lpstr>Summary</vt:lpstr>
      <vt:lpstr>Model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Debayan Bandyopadhyay</cp:lastModifiedBy>
  <cp:revision>1</cp:revision>
  <dcterms:created xsi:type="dcterms:W3CDTF">2026-10-09T22:26:12Z</dcterms:created>
  <dcterms:modified xsi:type="dcterms:W3CDTF">2026-10-10T15:10:35Z</dcterms:modified>
  <dc:language>en-US</dc:language>
</cp:coreProperties>
</file>